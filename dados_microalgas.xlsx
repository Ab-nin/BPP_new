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S149" i="1" l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S141" i="1"/>
  <c r="R141" i="1"/>
  <c r="S140" i="1"/>
  <c r="R140" i="1"/>
  <c r="S139" i="1"/>
  <c r="R139" i="1"/>
  <c r="S138" i="1"/>
  <c r="R138" i="1"/>
  <c r="S137" i="1"/>
  <c r="R137" i="1"/>
  <c r="S136" i="1"/>
  <c r="R136" i="1"/>
  <c r="S135" i="1"/>
  <c r="R135" i="1"/>
  <c r="S134" i="1"/>
  <c r="R134" i="1"/>
  <c r="S133" i="1"/>
  <c r="R133" i="1"/>
  <c r="S132" i="1"/>
  <c r="R132" i="1"/>
  <c r="S131" i="1"/>
  <c r="R131" i="1"/>
  <c r="S130" i="1"/>
  <c r="R130" i="1"/>
  <c r="S129" i="1"/>
  <c r="R129" i="1"/>
  <c r="S128" i="1"/>
  <c r="R128" i="1"/>
  <c r="S127" i="1"/>
  <c r="R127" i="1"/>
  <c r="S126" i="1"/>
  <c r="R126" i="1"/>
  <c r="S125" i="1"/>
  <c r="R125" i="1"/>
  <c r="S124" i="1"/>
  <c r="R124" i="1"/>
  <c r="S123" i="1"/>
  <c r="R123" i="1"/>
  <c r="S122" i="1"/>
  <c r="R122" i="1"/>
  <c r="S121" i="1"/>
  <c r="R121" i="1"/>
  <c r="S120" i="1"/>
  <c r="R120" i="1"/>
  <c r="S119" i="1"/>
  <c r="R119" i="1"/>
  <c r="S118" i="1"/>
  <c r="R118" i="1"/>
  <c r="S117" i="1"/>
  <c r="R117" i="1"/>
  <c r="S116" i="1"/>
  <c r="R116" i="1"/>
  <c r="S115" i="1"/>
  <c r="R115" i="1"/>
  <c r="S114" i="1"/>
  <c r="R114" i="1"/>
  <c r="S113" i="1"/>
  <c r="R113" i="1"/>
  <c r="S112" i="1"/>
  <c r="R112" i="1"/>
  <c r="S111" i="1"/>
  <c r="R111" i="1"/>
  <c r="S110" i="1"/>
  <c r="R110" i="1"/>
  <c r="S109" i="1"/>
  <c r="R109" i="1"/>
  <c r="S108" i="1"/>
  <c r="R108" i="1"/>
  <c r="S107" i="1"/>
  <c r="R107" i="1"/>
  <c r="S106" i="1"/>
  <c r="R106" i="1"/>
  <c r="S105" i="1"/>
  <c r="R105" i="1"/>
  <c r="S104" i="1"/>
  <c r="R104" i="1"/>
  <c r="S103" i="1"/>
  <c r="R103" i="1"/>
  <c r="S102" i="1"/>
  <c r="R102" i="1"/>
  <c r="S101" i="1"/>
  <c r="R101" i="1"/>
  <c r="S100" i="1"/>
  <c r="R100" i="1"/>
  <c r="S99" i="1"/>
  <c r="R99" i="1"/>
  <c r="S98" i="1"/>
  <c r="R98" i="1"/>
  <c r="S97" i="1"/>
  <c r="R97" i="1"/>
  <c r="S96" i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S3" i="1"/>
  <c r="R3" i="1"/>
  <c r="S2" i="1"/>
  <c r="R2" i="1"/>
</calcChain>
</file>

<file path=xl/comments1.xml><?xml version="1.0" encoding="utf-8"?>
<comments xmlns="http://schemas.openxmlformats.org/spreadsheetml/2006/main">
  <authors>
    <author>Autor</author>
  </authors>
  <commentList>
    <comment ref="R1" authorId="0" shapeId="0">
      <text>
        <r>
          <rPr>
            <b/>
            <sz val="9"/>
            <color indexed="81"/>
            <rFont val="Segoe UI"/>
            <charset val="1"/>
          </rPr>
          <t xml:space="preserve">André:
</t>
        </r>
        <r>
          <rPr>
            <sz val="9"/>
            <color indexed="81"/>
            <rFont val="Segoe UI"/>
            <family val="2"/>
          </rPr>
          <t>LHV = -0,167*rho + 184,95 (TESFA, 2013)
rho [kg/m^3]
Os valores parecem estar bastante similares devido a mudança de unidade da densidade (de g/cm^3 para kg/m^3) o que ocasionou uma perda de precisão devido aos dados apresentarem apenas duas casas decimais após a vírgula</t>
        </r>
      </text>
    </comment>
    <comment ref="S1" authorId="0" shapeId="0">
      <text>
        <r>
          <rPr>
            <b/>
            <sz val="9"/>
            <color indexed="81"/>
            <rFont val="Segoe UI"/>
            <family val="2"/>
          </rPr>
          <t xml:space="preserve">André:
</t>
        </r>
        <r>
          <rPr>
            <sz val="9"/>
            <color indexed="81"/>
            <rFont val="Segoe UI"/>
            <family val="2"/>
          </rPr>
          <t>LHV = -12,88*ln(u) + 61,3 (TESFA, 2013)
u [mm^2/s]
Os valores estão bem distorcidos, visto que a equação de correlação leva em consideração a viscosidade cinemática do biodiesel, entretanto parece que os valores de viscosidade simulados pelo BiodieselAnalyzer não conseguem representar bem a real viscosidade do combustível</t>
        </r>
      </text>
    </comment>
    <comment ref="T1" authorId="0" shapeId="0">
      <text>
        <r>
          <rPr>
            <b/>
            <sz val="9"/>
            <color indexed="81"/>
            <rFont val="Segoe UI"/>
            <family val="2"/>
          </rPr>
          <t xml:space="preserve">André:
</t>
        </r>
        <r>
          <rPr>
            <sz val="9"/>
            <color indexed="81"/>
            <rFont val="Segoe UI"/>
            <family val="2"/>
          </rPr>
          <t xml:space="preserve">A equação utilizada para simular o valor da viscosidade cinemática (Ramírez-Verduzco, 2012), parece não desempenhar bem para o biodiesel de óleo de microalga, visto que a viscosidade simulada está muito abaixo do que parece ser a viscosidade padrão do biocombustível. Estando também fora dos padrões usados nos EUA (1,9-6 mm^2/s) e UE (3,5-5 mm^2/s) (GIAKOUMIS, 2013).
</t>
        </r>
      </text>
    </comment>
  </commentList>
</comments>
</file>

<file path=xl/sharedStrings.xml><?xml version="1.0" encoding="utf-8"?>
<sst xmlns="http://schemas.openxmlformats.org/spreadsheetml/2006/main" count="2075" uniqueCount="957">
  <si>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</si>
  <si>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</si>
  <si>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</si>
  <si>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</si>
  <si>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</si>
  <si>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</si>
  <si>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</si>
  <si>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</si>
  <si>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</si>
  <si>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</si>
  <si>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3,43</t>
  </si>
  <si>
    <t>5,02</t>
  </si>
  <si>
    <t>10,30</t>
  </si>
  <si>
    <t>8,59</t>
  </si>
  <si>
    <t>9,51</t>
  </si>
  <si>
    <t>23,78</t>
  </si>
  <si>
    <t>7,75</t>
  </si>
  <si>
    <t>4,20</t>
  </si>
  <si>
    <t>14,69</t>
  </si>
  <si>
    <t>15,74</t>
  </si>
  <si>
    <t>3,89</t>
  </si>
  <si>
    <t>7,17</t>
  </si>
  <si>
    <t>5,68</t>
  </si>
  <si>
    <t>11,66</t>
  </si>
  <si>
    <t>9,72</t>
  </si>
  <si>
    <t>13,60</t>
  </si>
  <si>
    <t>5,83</t>
  </si>
  <si>
    <t>26,91</t>
  </si>
  <si>
    <t>7,00</t>
  </si>
  <si>
    <t>5,54</t>
  </si>
  <si>
    <t>11,38</t>
  </si>
  <si>
    <t>3,79</t>
  </si>
  <si>
    <t>9,48</t>
  </si>
  <si>
    <t>24,51</t>
  </si>
  <si>
    <t>5,69</t>
  </si>
  <si>
    <t>14,22</t>
  </si>
  <si>
    <t>4,48</t>
  </si>
  <si>
    <t>9,38</t>
  </si>
  <si>
    <t>13,43</t>
  </si>
  <si>
    <t>11,19</t>
  </si>
  <si>
    <t>15,66</t>
  </si>
  <si>
    <t>6,71</t>
  </si>
  <si>
    <t>16,78</t>
  </si>
  <si>
    <t>6,30</t>
  </si>
  <si>
    <t>3,41</t>
  </si>
  <si>
    <t>7,15</t>
  </si>
  <si>
    <t>10,23</t>
  </si>
  <si>
    <t>8,52</t>
  </si>
  <si>
    <t>22,03</t>
  </si>
  <si>
    <t>5,11</t>
  </si>
  <si>
    <t>23,61</t>
  </si>
  <si>
    <t>3,65</t>
  </si>
  <si>
    <t>6,73</t>
  </si>
  <si>
    <t>7,64</t>
  </si>
  <si>
    <t>10,94</t>
  </si>
  <si>
    <t>9,12</t>
  </si>
  <si>
    <t>23,56</t>
  </si>
  <si>
    <t>10,10</t>
  </si>
  <si>
    <t>13,67</t>
  </si>
  <si>
    <t>6,48</t>
  </si>
  <si>
    <t>7,36</t>
  </si>
  <si>
    <t>10,53</t>
  </si>
  <si>
    <t>3,51</t>
  </si>
  <si>
    <t>8,78</t>
  </si>
  <si>
    <t>12,29</t>
  </si>
  <si>
    <t>24,31</t>
  </si>
  <si>
    <t>3,67</t>
  </si>
  <si>
    <t>5,37</t>
  </si>
  <si>
    <t>20,35</t>
  </si>
  <si>
    <t>11,02</t>
  </si>
  <si>
    <t>9,19</t>
  </si>
  <si>
    <t>23,75</t>
  </si>
  <si>
    <t>5,51</t>
  </si>
  <si>
    <t>13,78</t>
  </si>
  <si>
    <t>6,53</t>
  </si>
  <si>
    <t>3,54</t>
  </si>
  <si>
    <t>5,17</t>
  </si>
  <si>
    <t>19,59</t>
  </si>
  <si>
    <t>10,61</t>
  </si>
  <si>
    <t>8,84</t>
  </si>
  <si>
    <t>12,38</t>
  </si>
  <si>
    <t>5,31</t>
  </si>
  <si>
    <t>24,49</t>
  </si>
  <si>
    <t>21,01</t>
  </si>
  <si>
    <t>13,27</t>
  </si>
  <si>
    <t>10,50</t>
  </si>
  <si>
    <t>4,38</t>
  </si>
  <si>
    <t>16,61</t>
  </si>
  <si>
    <t>9,00</t>
  </si>
  <si>
    <t>3,00</t>
  </si>
  <si>
    <t>7,50</t>
  </si>
  <si>
    <t>19,38</t>
  </si>
  <si>
    <t>8,30</t>
  </si>
  <si>
    <t>20,76</t>
  </si>
  <si>
    <t>18,89</t>
  </si>
  <si>
    <t>11,93</t>
  </si>
  <si>
    <t>9,44</t>
  </si>
  <si>
    <t>6,16</t>
  </si>
  <si>
    <t>3,34</t>
  </si>
  <si>
    <t>18,49</t>
  </si>
  <si>
    <t>10,01</t>
  </si>
  <si>
    <t>8,34</t>
  </si>
  <si>
    <t>21,57</t>
  </si>
  <si>
    <t>9,24</t>
  </si>
  <si>
    <t>12,52</t>
  </si>
  <si>
    <t>3,14</t>
  </si>
  <si>
    <t>5,79</t>
  </si>
  <si>
    <t>6,58</t>
  </si>
  <si>
    <t>17,38</t>
  </si>
  <si>
    <t>9,41</t>
  </si>
  <si>
    <t>7,85</t>
  </si>
  <si>
    <t>20,28</t>
  </si>
  <si>
    <t>4,71</t>
  </si>
  <si>
    <t>21,73</t>
  </si>
  <si>
    <t>6,95</t>
  </si>
  <si>
    <t>7,89</t>
  </si>
  <si>
    <t>20,84</t>
  </si>
  <si>
    <t>11,29</t>
  </si>
  <si>
    <t>3,76</t>
  </si>
  <si>
    <t>13,17</t>
  </si>
  <si>
    <t>5,64</t>
  </si>
  <si>
    <t>14,11</t>
  </si>
  <si>
    <t>3,29</t>
  </si>
  <si>
    <t>4,81</t>
  </si>
  <si>
    <t>9,87</t>
  </si>
  <si>
    <t>18,23</t>
  </si>
  <si>
    <t>8,23</t>
  </si>
  <si>
    <t>21,27</t>
  </si>
  <si>
    <t>4,94</t>
  </si>
  <si>
    <t>22,78</t>
  </si>
  <si>
    <t>3,98</t>
  </si>
  <si>
    <t>5,82</t>
  </si>
  <si>
    <t>11,95</t>
  </si>
  <si>
    <t>22,07</t>
  </si>
  <si>
    <t>9,96</t>
  </si>
  <si>
    <t>13,95</t>
  </si>
  <si>
    <t>5,98</t>
  </si>
  <si>
    <t>14,94</t>
  </si>
  <si>
    <t>3,39</t>
  </si>
  <si>
    <t>6,25</t>
  </si>
  <si>
    <t>4,95</t>
  </si>
  <si>
    <t>10,16</t>
  </si>
  <si>
    <t>18,75</t>
  </si>
  <si>
    <t>8,46</t>
  </si>
  <si>
    <t>11,85</t>
  </si>
  <si>
    <t>23,44</t>
  </si>
  <si>
    <t>6,12</t>
  </si>
  <si>
    <t>4,84</t>
  </si>
  <si>
    <t>9,94</t>
  </si>
  <si>
    <t>18,36</t>
  </si>
  <si>
    <t>3,31</t>
  </si>
  <si>
    <t>8,29</t>
  </si>
  <si>
    <t>21,41</t>
  </si>
  <si>
    <t>9,18</t>
  </si>
  <si>
    <t>12,43</t>
  </si>
  <si>
    <t>3,82</t>
  </si>
  <si>
    <t>8,01</t>
  </si>
  <si>
    <t>11,47</t>
  </si>
  <si>
    <t>21,18</t>
  </si>
  <si>
    <t>9,56</t>
  </si>
  <si>
    <t>13,38</t>
  </si>
  <si>
    <t>10,59</t>
  </si>
  <si>
    <t>14,34</t>
  </si>
  <si>
    <t>5,57</t>
  </si>
  <si>
    <t>3,02</t>
  </si>
  <si>
    <t>6,33</t>
  </si>
  <si>
    <t>9,05</t>
  </si>
  <si>
    <t>16,72</t>
  </si>
  <si>
    <t>7,54</t>
  </si>
  <si>
    <t>19,50</t>
  </si>
  <si>
    <t>8,36</t>
  </si>
  <si>
    <t>20,89</t>
  </si>
  <si>
    <t>3,49</t>
  </si>
  <si>
    <t>6,43</t>
  </si>
  <si>
    <t>7,31</t>
  </si>
  <si>
    <t>10,46</t>
  </si>
  <si>
    <t>19,30</t>
  </si>
  <si>
    <t>8,71</t>
  </si>
  <si>
    <t>22,52</t>
  </si>
  <si>
    <t>5,23</t>
  </si>
  <si>
    <t>13,07</t>
  </si>
  <si>
    <t>6,21</t>
  </si>
  <si>
    <t>7,05</t>
  </si>
  <si>
    <t>10,08</t>
  </si>
  <si>
    <t>18,62</t>
  </si>
  <si>
    <t>3,36</t>
  </si>
  <si>
    <t>8,40</t>
  </si>
  <si>
    <t>11,76</t>
  </si>
  <si>
    <t>5,04</t>
  </si>
  <si>
    <t>23,27</t>
  </si>
  <si>
    <t>3,22</t>
  </si>
  <si>
    <t>17,85</t>
  </si>
  <si>
    <t>8,06</t>
  </si>
  <si>
    <t>20,83</t>
  </si>
  <si>
    <t>8,93</t>
  </si>
  <si>
    <t>12,09</t>
  </si>
  <si>
    <t>5,76</t>
  </si>
  <si>
    <t>3,12</t>
  </si>
  <si>
    <t>4,56</t>
  </si>
  <si>
    <t>17,27</t>
  </si>
  <si>
    <t>7,79</t>
  </si>
  <si>
    <t>10,91</t>
  </si>
  <si>
    <t>8,63</t>
  </si>
  <si>
    <t>21,58</t>
  </si>
  <si>
    <t>3,62</t>
  </si>
  <si>
    <t>6,68</t>
  </si>
  <si>
    <t>5,29</t>
  </si>
  <si>
    <t>20,04</t>
  </si>
  <si>
    <t>12,67</t>
  </si>
  <si>
    <t>5,43</t>
  </si>
  <si>
    <t>13,57</t>
  </si>
  <si>
    <t>5,33</t>
  </si>
  <si>
    <t>4,22</t>
  </si>
  <si>
    <t>16,00</t>
  </si>
  <si>
    <t>2,89</t>
  </si>
  <si>
    <t>7,22</t>
  </si>
  <si>
    <t>18,67</t>
  </si>
  <si>
    <t>4,33</t>
  </si>
  <si>
    <t>20,00</t>
  </si>
  <si>
    <t>3,27</t>
  </si>
  <si>
    <t>6,85</t>
  </si>
  <si>
    <t>18,10</t>
  </si>
  <si>
    <t>8,17</t>
  </si>
  <si>
    <t>11,44</t>
  </si>
  <si>
    <t>4,90</t>
  </si>
  <si>
    <t>22,63</t>
  </si>
  <si>
    <t>5,91</t>
  </si>
  <si>
    <t>3,20</t>
  </si>
  <si>
    <t>17,73</t>
  </si>
  <si>
    <t>8,00</t>
  </si>
  <si>
    <t>20,69</t>
  </si>
  <si>
    <t>4,80</t>
  </si>
  <si>
    <t>12,01</t>
  </si>
  <si>
    <t>2,80</t>
  </si>
  <si>
    <t>5,18</t>
  </si>
  <si>
    <t>5,88</t>
  </si>
  <si>
    <t>15,53</t>
  </si>
  <si>
    <t>7,01</t>
  </si>
  <si>
    <t>18,11</t>
  </si>
  <si>
    <t>7,76</t>
  </si>
  <si>
    <t>19,41</t>
  </si>
  <si>
    <t>6,08</t>
  </si>
  <si>
    <t>6,90</t>
  </si>
  <si>
    <t>11,52</t>
  </si>
  <si>
    <t>9,11</t>
  </si>
  <si>
    <t>12,34</t>
  </si>
  <si>
    <t>3,73</t>
  </si>
  <si>
    <t>5,46</t>
  </si>
  <si>
    <t>11,20</t>
  </si>
  <si>
    <t>6,89</t>
  </si>
  <si>
    <t>9,33</t>
  </si>
  <si>
    <t>24,12</t>
  </si>
  <si>
    <t>10,34</t>
  </si>
  <si>
    <t>14,00</t>
  </si>
  <si>
    <t>6,63</t>
  </si>
  <si>
    <t>3,59</t>
  </si>
  <si>
    <t>5,25</t>
  </si>
  <si>
    <t>10,77</t>
  </si>
  <si>
    <t>8,98</t>
  </si>
  <si>
    <t>12,57</t>
  </si>
  <si>
    <t>24,86</t>
  </si>
  <si>
    <t>4,27</t>
  </si>
  <si>
    <t>6,24</t>
  </si>
  <si>
    <t>12,82</t>
  </si>
  <si>
    <t>10,68</t>
  </si>
  <si>
    <t>14,95</t>
  </si>
  <si>
    <t>6,41</t>
  </si>
  <si>
    <t>16,02</t>
  </si>
  <si>
    <t>7,95</t>
  </si>
  <si>
    <t>26,26</t>
  </si>
  <si>
    <t>6,84</t>
  </si>
  <si>
    <t>3,70</t>
  </si>
  <si>
    <t>11,11</t>
  </si>
  <si>
    <t>9,26</t>
  </si>
  <si>
    <t>23,93</t>
  </si>
  <si>
    <t>5,56</t>
  </si>
  <si>
    <t>13,89</t>
  </si>
  <si>
    <t>3,18</t>
  </si>
  <si>
    <t>5,87</t>
  </si>
  <si>
    <t>6,67</t>
  </si>
  <si>
    <t>9,54</t>
  </si>
  <si>
    <t>20,55</t>
  </si>
  <si>
    <t>8,81</t>
  </si>
  <si>
    <t>22,02</t>
  </si>
  <si>
    <t>7,06</t>
  </si>
  <si>
    <t>4,68</t>
  </si>
  <si>
    <t>9,61</t>
  </si>
  <si>
    <t>22,17</t>
  </si>
  <si>
    <t>7,12</t>
  </si>
  <si>
    <t>3,85</t>
  </si>
  <si>
    <t>5,63</t>
  </si>
  <si>
    <t>21,35</t>
  </si>
  <si>
    <t>11,56</t>
  </si>
  <si>
    <t>9,64</t>
  </si>
  <si>
    <t>13,49</t>
  </si>
  <si>
    <t>5,78</t>
  </si>
  <si>
    <t>14,46</t>
  </si>
  <si>
    <t>5,95</t>
  </si>
  <si>
    <t>9,67</t>
  </si>
  <si>
    <t>20,51</t>
  </si>
  <si>
    <t>12,96</t>
  </si>
  <si>
    <t>10,26</t>
  </si>
  <si>
    <t>2,94</t>
  </si>
  <si>
    <t>6,17</t>
  </si>
  <si>
    <t>16,30</t>
  </si>
  <si>
    <t>8,83</t>
  </si>
  <si>
    <t>19,02</t>
  </si>
  <si>
    <t>8,15</t>
  </si>
  <si>
    <t>20,37</t>
  </si>
  <si>
    <t>7,10</t>
  </si>
  <si>
    <t>21,88</t>
  </si>
  <si>
    <t>5,08</t>
  </si>
  <si>
    <t>12,70</t>
  </si>
  <si>
    <t>6,03</t>
  </si>
  <si>
    <t>9,81</t>
  </si>
  <si>
    <t>3,56</t>
  </si>
  <si>
    <t>5,21</t>
  </si>
  <si>
    <t>10,69</t>
  </si>
  <si>
    <t>19,74</t>
  </si>
  <si>
    <t>8,91</t>
  </si>
  <si>
    <t>23,03</t>
  </si>
  <si>
    <t>5,35</t>
  </si>
  <si>
    <t>13,37</t>
  </si>
  <si>
    <t>6,34</t>
  </si>
  <si>
    <t>12,02</t>
  </si>
  <si>
    <t>5,15</t>
  </si>
  <si>
    <t>6,78</t>
  </si>
  <si>
    <t>12,86</t>
  </si>
  <si>
    <t>10,18</t>
  </si>
  <si>
    <t>5,40</t>
  </si>
  <si>
    <t>8,77</t>
  </si>
  <si>
    <t>16,20</t>
  </si>
  <si>
    <t>18,90</t>
  </si>
  <si>
    <t>8,10</t>
  </si>
  <si>
    <t>20,25</t>
  </si>
  <si>
    <t>11,60</t>
  </si>
  <si>
    <t>22,94</t>
  </si>
  <si>
    <t>5,99</t>
  </si>
  <si>
    <t>3,25</t>
  </si>
  <si>
    <t>6,80</t>
  </si>
  <si>
    <t>9,74</t>
  </si>
  <si>
    <t>17,98</t>
  </si>
  <si>
    <t>8,11</t>
  </si>
  <si>
    <t>20,97</t>
  </si>
  <si>
    <t>8,99</t>
  </si>
  <si>
    <t>12,17</t>
  </si>
  <si>
    <t>3,06</t>
  </si>
  <si>
    <t>9,17</t>
  </si>
  <si>
    <t>16,93</t>
  </si>
  <si>
    <t>19,75</t>
  </si>
  <si>
    <t>4,59</t>
  </si>
  <si>
    <t>21,16</t>
  </si>
  <si>
    <t>20,20</t>
  </si>
  <si>
    <t>12,76</t>
  </si>
  <si>
    <t>5,47</t>
  </si>
  <si>
    <t>2,85</t>
  </si>
  <si>
    <t>4,17</t>
  </si>
  <si>
    <t>15,81</t>
  </si>
  <si>
    <t>5,27</t>
  </si>
  <si>
    <t>7,13</t>
  </si>
  <si>
    <t>18,44</t>
  </si>
  <si>
    <t>7,90</t>
  </si>
  <si>
    <t>19,76</t>
  </si>
  <si>
    <t>4,91</t>
  </si>
  <si>
    <t>9,31</t>
  </si>
  <si>
    <t>12,60</t>
  </si>
  <si>
    <t>3,16</t>
  </si>
  <si>
    <t>4,62</t>
  </si>
  <si>
    <t>17,50</t>
  </si>
  <si>
    <t>11,06</t>
  </si>
  <si>
    <t>4,74</t>
  </si>
  <si>
    <t>21,87</t>
  </si>
  <si>
    <t>5,72</t>
  </si>
  <si>
    <t>4,53</t>
  </si>
  <si>
    <t>17,15</t>
  </si>
  <si>
    <t>7,74</t>
  </si>
  <si>
    <t>20,01</t>
  </si>
  <si>
    <t>4,65</t>
  </si>
  <si>
    <t>11,61</t>
  </si>
  <si>
    <t>7,41</t>
  </si>
  <si>
    <t>5,24</t>
  </si>
  <si>
    <t>2,84</t>
  </si>
  <si>
    <t>15,71</t>
  </si>
  <si>
    <t>7,09</t>
  </si>
  <si>
    <t>18,33</t>
  </si>
  <si>
    <t>4,26</t>
  </si>
  <si>
    <t>19,64</t>
  </si>
  <si>
    <t>6,29</t>
  </si>
  <si>
    <t>11,25</t>
  </si>
  <si>
    <t>6,09</t>
  </si>
  <si>
    <t>16,10</t>
  </si>
  <si>
    <t>7,27</t>
  </si>
  <si>
    <t>10,17</t>
  </si>
  <si>
    <t>8,05</t>
  </si>
  <si>
    <t>20,12</t>
  </si>
  <si>
    <t>16,33</t>
  </si>
  <si>
    <t>9,80</t>
  </si>
  <si>
    <t>6,39</t>
  </si>
  <si>
    <t>3,46</t>
  </si>
  <si>
    <t>5,06</t>
  </si>
  <si>
    <t>10,38</t>
  </si>
  <si>
    <t>15,97</t>
  </si>
  <si>
    <t>22,36</t>
  </si>
  <si>
    <t>9,58</t>
  </si>
  <si>
    <t>12,97</t>
  </si>
  <si>
    <t>14,98</t>
  </si>
  <si>
    <t>4,87</t>
  </si>
  <si>
    <t>22,47</t>
  </si>
  <si>
    <t>7,23</t>
  </si>
  <si>
    <t>5,73</t>
  </si>
  <si>
    <t>3,92</t>
  </si>
  <si>
    <t>18,09</t>
  </si>
  <si>
    <t>13,72</t>
  </si>
  <si>
    <t>16,83</t>
  </si>
  <si>
    <t>16,21</t>
  </si>
  <si>
    <t>17,37</t>
  </si>
  <si>
    <t>10,42</t>
  </si>
  <si>
    <t>5,50</t>
  </si>
  <si>
    <t>8,94</t>
  </si>
  <si>
    <t>2,98</t>
  </si>
  <si>
    <t>13,75</t>
  </si>
  <si>
    <t>19,26</t>
  </si>
  <si>
    <t>8,25</t>
  </si>
  <si>
    <t>20,63</t>
  </si>
  <si>
    <t>17,51</t>
  </si>
  <si>
    <t>13,84</t>
  </si>
  <si>
    <t>4,50</t>
  </si>
  <si>
    <t>17,61</t>
  </si>
  <si>
    <t>14,68</t>
  </si>
  <si>
    <t>17,04</t>
  </si>
  <si>
    <t>9,23</t>
  </si>
  <si>
    <t>3,08</t>
  </si>
  <si>
    <t>14,20</t>
  </si>
  <si>
    <t>21,30</t>
  </si>
  <si>
    <t>2,91</t>
  </si>
  <si>
    <t>8,72</t>
  </si>
  <si>
    <t>13,42</t>
  </si>
  <si>
    <t>18,78</t>
  </si>
  <si>
    <t>7,20</t>
  </si>
  <si>
    <t>15,85</t>
  </si>
  <si>
    <t>12,88</t>
  </si>
  <si>
    <t>6,76</t>
  </si>
  <si>
    <t>14,88</t>
  </si>
  <si>
    <t>11,28</t>
  </si>
  <si>
    <t>22,32</t>
  </si>
  <si>
    <t>6,62</t>
  </si>
  <si>
    <t>14,58</t>
  </si>
  <si>
    <t>20,41</t>
  </si>
  <si>
    <t>15,63</t>
  </si>
  <si>
    <t>15,30</t>
  </si>
  <si>
    <t>4,97</t>
  </si>
  <si>
    <t>8,67</t>
  </si>
  <si>
    <t>13,33</t>
  </si>
  <si>
    <t>4,98</t>
  </si>
  <si>
    <t>12,79</t>
  </si>
  <si>
    <t>14,78</t>
  </si>
  <si>
    <t>8,87</t>
  </si>
  <si>
    <t>3,10</t>
  </si>
  <si>
    <t>6,49</t>
  </si>
  <si>
    <t>9,29</t>
  </si>
  <si>
    <t>14,29</t>
  </si>
  <si>
    <t>10,84</t>
  </si>
  <si>
    <t>8,58</t>
  </si>
  <si>
    <t>21,44</t>
  </si>
  <si>
    <t>7,53</t>
  </si>
  <si>
    <t>19,89</t>
  </si>
  <si>
    <t>16,57</t>
  </si>
  <si>
    <t>5,39</t>
  </si>
  <si>
    <t>13,47</t>
  </si>
  <si>
    <t>5,30</t>
  </si>
  <si>
    <t>6,02</t>
  </si>
  <si>
    <t>8,61</t>
  </si>
  <si>
    <t>15,90</t>
  </si>
  <si>
    <t>2,87</t>
  </si>
  <si>
    <t>13,25</t>
  </si>
  <si>
    <t>18,55</t>
  </si>
  <si>
    <t>4,31</t>
  </si>
  <si>
    <t>19,88</t>
  </si>
  <si>
    <t>2,69</t>
  </si>
  <si>
    <t>3,93</t>
  </si>
  <si>
    <t>14,91</t>
  </si>
  <si>
    <t>12,42</t>
  </si>
  <si>
    <t>17,39</t>
  </si>
  <si>
    <t>7,45</t>
  </si>
  <si>
    <t>18,63</t>
  </si>
  <si>
    <t>4,47</t>
  </si>
  <si>
    <t>11,46</t>
  </si>
  <si>
    <t>16,40</t>
  </si>
  <si>
    <t>2,96</t>
  </si>
  <si>
    <t>10,36</t>
  </si>
  <si>
    <t>4,44</t>
  </si>
  <si>
    <t>20,50</t>
  </si>
  <si>
    <t>12,94</t>
  </si>
  <si>
    <t>15,19</t>
  </si>
  <si>
    <t>10,05</t>
  </si>
  <si>
    <t>15,62</t>
  </si>
  <si>
    <t>2,82</t>
  </si>
  <si>
    <t>13,02</t>
  </si>
  <si>
    <t>18,22</t>
  </si>
  <si>
    <t>7,81</t>
  </si>
  <si>
    <t>10,57</t>
  </si>
  <si>
    <t>17,79</t>
  </si>
  <si>
    <t>10,67</t>
  </si>
  <si>
    <t>5,61</t>
  </si>
  <si>
    <t>3,04</t>
  </si>
  <si>
    <t>14,02</t>
  </si>
  <si>
    <t>19,63</t>
  </si>
  <si>
    <t>8,41</t>
  </si>
  <si>
    <t>21,03</t>
  </si>
  <si>
    <t>5,13</t>
  </si>
  <si>
    <t>22,69</t>
  </si>
  <si>
    <t>4,77</t>
  </si>
  <si>
    <t>17,65</t>
  </si>
  <si>
    <t>5,74</t>
  </si>
  <si>
    <t>15,08</t>
  </si>
  <si>
    <t>4,12</t>
  </si>
  <si>
    <t>19,52</t>
  </si>
  <si>
    <t>9,35</t>
  </si>
  <si>
    <t>14,39</t>
  </si>
  <si>
    <t>20,14</t>
  </si>
  <si>
    <t>11,69</t>
  </si>
  <si>
    <t>13,93</t>
  </si>
  <si>
    <t>10,56</t>
  </si>
  <si>
    <t>16,09</t>
  </si>
  <si>
    <t>12,20</t>
  </si>
  <si>
    <t>16,96</t>
  </si>
  <si>
    <t>2,92</t>
  </si>
  <si>
    <t>13,50</t>
  </si>
  <si>
    <t>4,39</t>
  </si>
  <si>
    <t>8,51</t>
  </si>
  <si>
    <t>13,09</t>
  </si>
  <si>
    <t>7,86</t>
  </si>
  <si>
    <t>15,40</t>
  </si>
  <si>
    <t>11,68</t>
  </si>
  <si>
    <t>14,48</t>
  </si>
  <si>
    <t>10,98</t>
  </si>
  <si>
    <t>6,45</t>
  </si>
  <si>
    <t>11,54</t>
  </si>
  <si>
    <t>10,24</t>
  </si>
  <si>
    <t>2,72</t>
  </si>
  <si>
    <t>5,03</t>
  </si>
  <si>
    <t>17,59</t>
  </si>
  <si>
    <t>4,08</t>
  </si>
  <si>
    <t>18,85</t>
  </si>
  <si>
    <t>11,13</t>
  </si>
  <si>
    <t>4,36</t>
  </si>
  <si>
    <t>14,03</t>
  </si>
  <si>
    <t>16,37</t>
  </si>
  <si>
    <t>17,54</t>
  </si>
  <si>
    <t>0,00</t>
  </si>
  <si>
    <t>4,88</t>
  </si>
  <si>
    <t>6,10</t>
  </si>
  <si>
    <t>14,63</t>
  </si>
  <si>
    <t>17,07</t>
  </si>
  <si>
    <t>7,32</t>
  </si>
  <si>
    <t>18,29</t>
  </si>
  <si>
    <t>8,89</t>
  </si>
  <si>
    <t>15,56</t>
  </si>
  <si>
    <t>16,67</t>
  </si>
  <si>
    <t>4,82</t>
  </si>
  <si>
    <t>2,41</t>
  </si>
  <si>
    <t>12,05</t>
  </si>
  <si>
    <t>16,87</t>
  </si>
  <si>
    <t>18,07</t>
  </si>
  <si>
    <t>4,49</t>
  </si>
  <si>
    <t>13,48</t>
  </si>
  <si>
    <t>11,24</t>
  </si>
  <si>
    <t>15,73</t>
  </si>
  <si>
    <t>6,74</t>
  </si>
  <si>
    <t>16,85</t>
  </si>
  <si>
    <t>5,41</t>
  </si>
  <si>
    <t>16,22</t>
  </si>
  <si>
    <t>13,51</t>
  </si>
  <si>
    <t>18,92</t>
  </si>
  <si>
    <t>20,27</t>
  </si>
  <si>
    <t>5,10</t>
  </si>
  <si>
    <t>12,24</t>
  </si>
  <si>
    <t>10,20</t>
  </si>
  <si>
    <t>15,31</t>
  </si>
  <si>
    <t>5,26</t>
  </si>
  <si>
    <t>15,79</t>
  </si>
  <si>
    <t>18,42</t>
  </si>
  <si>
    <t>12,50</t>
  </si>
  <si>
    <t>6,94</t>
  </si>
  <si>
    <t>8,33</t>
  </si>
  <si>
    <t>4,00</t>
  </si>
  <si>
    <t>5,00</t>
  </si>
  <si>
    <t>12,00</t>
  </si>
  <si>
    <t>10,00</t>
  </si>
  <si>
    <t>28,00</t>
  </si>
  <si>
    <t>6,00</t>
  </si>
  <si>
    <t>15,00</t>
  </si>
  <si>
    <t>4,35</t>
  </si>
  <si>
    <t>13,04</t>
  </si>
  <si>
    <t>10,87</t>
  </si>
  <si>
    <t>15,22</t>
  </si>
  <si>
    <t>7,04</t>
  </si>
  <si>
    <t>16,90</t>
  </si>
  <si>
    <t>14,08</t>
  </si>
  <si>
    <t>19,72</t>
  </si>
  <si>
    <t>8,45</t>
  </si>
  <si>
    <t>3,96</t>
  </si>
  <si>
    <t>11,88</t>
  </si>
  <si>
    <t>9,90</t>
  </si>
  <si>
    <t>13,86</t>
  </si>
  <si>
    <t>5,94</t>
  </si>
  <si>
    <t>29,70</t>
  </si>
  <si>
    <t>SV</t>
  </si>
  <si>
    <t>IV</t>
  </si>
  <si>
    <t>CN</t>
  </si>
  <si>
    <t>LCSF</t>
  </si>
  <si>
    <t>CFPP</t>
  </si>
  <si>
    <t>OS</t>
  </si>
  <si>
    <t>HHV</t>
  </si>
  <si>
    <t>LHV(I)</t>
  </si>
  <si>
    <t>LHV(II)</t>
  </si>
  <si>
    <t>Viscosidade</t>
  </si>
  <si>
    <t>Densidade</t>
  </si>
  <si>
    <t>0,87</t>
  </si>
  <si>
    <t>212,92</t>
  </si>
  <si>
    <t>101,09</t>
  </si>
  <si>
    <t>49,19</t>
  </si>
  <si>
    <t>8,07</t>
  </si>
  <si>
    <t>8,88</t>
  </si>
  <si>
    <t>6,52</t>
  </si>
  <si>
    <t>39,14</t>
  </si>
  <si>
    <t>1,22</t>
  </si>
  <si>
    <t>213,83</t>
  </si>
  <si>
    <t>77,79</t>
  </si>
  <si>
    <t>54,32</t>
  </si>
  <si>
    <t>9,36</t>
  </si>
  <si>
    <t>12,93</t>
  </si>
  <si>
    <t>39,17</t>
  </si>
  <si>
    <t>1,26</t>
  </si>
  <si>
    <t>214,41</t>
  </si>
  <si>
    <t>94,77</t>
  </si>
  <si>
    <t>50,43</t>
  </si>
  <si>
    <t>7,49</t>
  </si>
  <si>
    <t>7,47</t>
  </si>
  <si>
    <t>39,43</t>
  </si>
  <si>
    <t>1,24</t>
  </si>
  <si>
    <t>0,88</t>
  </si>
  <si>
    <t>212,95</t>
  </si>
  <si>
    <t>79,41</t>
  </si>
  <si>
    <t>54,06</t>
  </si>
  <si>
    <t>9,49</t>
  </si>
  <si>
    <t>13,34</t>
  </si>
  <si>
    <t>39,32</t>
  </si>
  <si>
    <t>1,27</t>
  </si>
  <si>
    <t>211,79</t>
  </si>
  <si>
    <t>50,7</t>
  </si>
  <si>
    <t>7,7</t>
  </si>
  <si>
    <t>7,71</t>
  </si>
  <si>
    <t>7,11</t>
  </si>
  <si>
    <t>39,18</t>
  </si>
  <si>
    <t>212,43</t>
  </si>
  <si>
    <t>74,34</t>
  </si>
  <si>
    <t>55,27</t>
  </si>
  <si>
    <t>8,75</t>
  </si>
  <si>
    <t>11,01</t>
  </si>
  <si>
    <t>39,22</t>
  </si>
  <si>
    <t>1,28</t>
  </si>
  <si>
    <t>214,3</t>
  </si>
  <si>
    <t>89,84</t>
  </si>
  <si>
    <t>51,55</t>
  </si>
  <si>
    <t>8,48</t>
  </si>
  <si>
    <t>39,12</t>
  </si>
  <si>
    <t>1,23</t>
  </si>
  <si>
    <t>210,98</t>
  </si>
  <si>
    <t>92,52</t>
  </si>
  <si>
    <t>51,35</t>
  </si>
  <si>
    <t>8,02</t>
  </si>
  <si>
    <t>7,59</t>
  </si>
  <si>
    <t>215,18</t>
  </si>
  <si>
    <t>71,28</t>
  </si>
  <si>
    <t>55,63</t>
  </si>
  <si>
    <t>9,42</t>
  </si>
  <si>
    <t>13,12</t>
  </si>
  <si>
    <t>1,25</t>
  </si>
  <si>
    <t>212,46</t>
  </si>
  <si>
    <t>93,72</t>
  </si>
  <si>
    <t>50,9</t>
  </si>
  <si>
    <t>8,22</t>
  </si>
  <si>
    <t>6,83</t>
  </si>
  <si>
    <t>213,93</t>
  </si>
  <si>
    <t>75,05</t>
  </si>
  <si>
    <t>54,93</t>
  </si>
  <si>
    <t>9,01</t>
  </si>
  <si>
    <t>210,8</t>
  </si>
  <si>
    <t>82,57</t>
  </si>
  <si>
    <t>53,61</t>
  </si>
  <si>
    <t>15,1</t>
  </si>
  <si>
    <t>7,28</t>
  </si>
  <si>
    <t>39,24</t>
  </si>
  <si>
    <t>210,57</t>
  </si>
  <si>
    <t>99,54</t>
  </si>
  <si>
    <t>49,82</t>
  </si>
  <si>
    <t>7,92</t>
  </si>
  <si>
    <t>6,6</t>
  </si>
  <si>
    <t>211,05</t>
  </si>
  <si>
    <t>76,51</t>
  </si>
  <si>
    <t>54,95</t>
  </si>
  <si>
    <t>9,16</t>
  </si>
  <si>
    <t>12,3</t>
  </si>
  <si>
    <t>39,25</t>
  </si>
  <si>
    <t>1,29</t>
  </si>
  <si>
    <t>213,28</t>
  </si>
  <si>
    <t>94,15</t>
  </si>
  <si>
    <t>50,71</t>
  </si>
  <si>
    <t>11,26</t>
  </si>
  <si>
    <t>39,15</t>
  </si>
  <si>
    <t>209,54</t>
  </si>
  <si>
    <t>96,91</t>
  </si>
  <si>
    <t>50,54</t>
  </si>
  <si>
    <t>9,57</t>
  </si>
  <si>
    <t>6,99</t>
  </si>
  <si>
    <t>39,26</t>
  </si>
  <si>
    <t>214,1</t>
  </si>
  <si>
    <t>73,13</t>
  </si>
  <si>
    <t>55,34</t>
  </si>
  <si>
    <t>9,97</t>
  </si>
  <si>
    <t>14,85</t>
  </si>
  <si>
    <t>39,16</t>
  </si>
  <si>
    <t>211,21</t>
  </si>
  <si>
    <t>98,41</t>
  </si>
  <si>
    <t>10,29</t>
  </si>
  <si>
    <t>6,31</t>
  </si>
  <si>
    <t>39,2</t>
  </si>
  <si>
    <t>212,87</t>
  </si>
  <si>
    <t>77,14</t>
  </si>
  <si>
    <t>54,58</t>
  </si>
  <si>
    <t>8,35</t>
  </si>
  <si>
    <t>9,76</t>
  </si>
  <si>
    <t>8,24</t>
  </si>
  <si>
    <t>210,93</t>
  </si>
  <si>
    <t>91,51</t>
  </si>
  <si>
    <t>51,59</t>
  </si>
  <si>
    <t>212,57</t>
  </si>
  <si>
    <t>70,24</t>
  </si>
  <si>
    <t>56,17</t>
  </si>
  <si>
    <t>210,31</t>
  </si>
  <si>
    <t>92,4</t>
  </si>
  <si>
    <t>51,46</t>
  </si>
  <si>
    <t>6,91</t>
  </si>
  <si>
    <t>214,39</t>
  </si>
  <si>
    <t>55,78</t>
  </si>
  <si>
    <t>210,68</t>
  </si>
  <si>
    <t>75,07</t>
  </si>
  <si>
    <t>55,32</t>
  </si>
  <si>
    <t>8,92</t>
  </si>
  <si>
    <t>11,55</t>
  </si>
  <si>
    <t>8,39</t>
  </si>
  <si>
    <t>39,27</t>
  </si>
  <si>
    <t>212,64</t>
  </si>
  <si>
    <t>90,85</t>
  </si>
  <si>
    <t>51,53</t>
  </si>
  <si>
    <t>8,64</t>
  </si>
  <si>
    <t>213,49</t>
  </si>
  <si>
    <t>66,66</t>
  </si>
  <si>
    <t>56,87</t>
  </si>
  <si>
    <t>9,98</t>
  </si>
  <si>
    <t>9,03</t>
  </si>
  <si>
    <t>212,72</t>
  </si>
  <si>
    <t>85,41</t>
  </si>
  <si>
    <t>52,74</t>
  </si>
  <si>
    <t>39,19</t>
  </si>
  <si>
    <t>212,16</t>
  </si>
  <si>
    <t>79,57</t>
  </si>
  <si>
    <t>54,12</t>
  </si>
  <si>
    <t>13,62</t>
  </si>
  <si>
    <t>8,7</t>
  </si>
  <si>
    <t>211,65</t>
  </si>
  <si>
    <t>96,54</t>
  </si>
  <si>
    <t>50,37</t>
  </si>
  <si>
    <t>7,63</t>
  </si>
  <si>
    <t>7,38</t>
  </si>
  <si>
    <t>211,33</t>
  </si>
  <si>
    <t>82,43</t>
  </si>
  <si>
    <t>53,58</t>
  </si>
  <si>
    <t>8,43</t>
  </si>
  <si>
    <t>39,23</t>
  </si>
  <si>
    <t>213,27</t>
  </si>
  <si>
    <t>97,88</t>
  </si>
  <si>
    <t>49,87</t>
  </si>
  <si>
    <t>7,82</t>
  </si>
  <si>
    <t>8,09</t>
  </si>
  <si>
    <t>6,65</t>
  </si>
  <si>
    <t>209,97</t>
  </si>
  <si>
    <t>100,16</t>
  </si>
  <si>
    <t>49,76</t>
  </si>
  <si>
    <t>7,4</t>
  </si>
  <si>
    <t>6,77</t>
  </si>
  <si>
    <t>6,88</t>
  </si>
  <si>
    <t>213,98</t>
  </si>
  <si>
    <t>79,96</t>
  </si>
  <si>
    <t>53,82</t>
  </si>
  <si>
    <t>10,86</t>
  </si>
  <si>
    <t>212,36</t>
  </si>
  <si>
    <t>95,23</t>
  </si>
  <si>
    <t>50,57</t>
  </si>
  <si>
    <t>8,18</t>
  </si>
  <si>
    <t>9,22</t>
  </si>
  <si>
    <t>213,94</t>
  </si>
  <si>
    <t>74,84</t>
  </si>
  <si>
    <t>54,97</t>
  </si>
  <si>
    <t>9,89</t>
  </si>
  <si>
    <t>211,19</t>
  </si>
  <si>
    <t>95,47</t>
  </si>
  <si>
    <t>50,66</t>
  </si>
  <si>
    <t>8,37</t>
  </si>
  <si>
    <t>9,82</t>
  </si>
  <si>
    <t>6,75</t>
  </si>
  <si>
    <t>39,21</t>
  </si>
  <si>
    <t>212,65</t>
  </si>
  <si>
    <t>76,43</t>
  </si>
  <si>
    <t>54,77</t>
  </si>
  <si>
    <t>211,35</t>
  </si>
  <si>
    <t>89,85</t>
  </si>
  <si>
    <t>51,91</t>
  </si>
  <si>
    <t>7,73</t>
  </si>
  <si>
    <t>215,41</t>
  </si>
  <si>
    <t>68,88</t>
  </si>
  <si>
    <t>56,14</t>
  </si>
  <si>
    <t>9,1</t>
  </si>
  <si>
    <t>12,11</t>
  </si>
  <si>
    <t>9,65</t>
  </si>
  <si>
    <t>39,13</t>
  </si>
  <si>
    <t>211,86</t>
  </si>
  <si>
    <t>72,95</t>
  </si>
  <si>
    <t>55,65</t>
  </si>
  <si>
    <t>10,48</t>
  </si>
  <si>
    <t>213,69</t>
  </si>
  <si>
    <t>88,18</t>
  </si>
  <si>
    <t>8,32</t>
  </si>
  <si>
    <t>9,66</t>
  </si>
  <si>
    <t>213,45</t>
  </si>
  <si>
    <t>73,71</t>
  </si>
  <si>
    <t>55,29</t>
  </si>
  <si>
    <t>8,8</t>
  </si>
  <si>
    <t>11,17</t>
  </si>
  <si>
    <t>8,47</t>
  </si>
  <si>
    <t>212,78</t>
  </si>
  <si>
    <t>89,43</t>
  </si>
  <si>
    <t>51,83</t>
  </si>
  <si>
    <t>7,25</t>
  </si>
  <si>
    <t>6,3</t>
  </si>
  <si>
    <t>7,39</t>
  </si>
  <si>
    <t>209,58</t>
  </si>
  <si>
    <t>93,27</t>
  </si>
  <si>
    <t>51,36</t>
  </si>
  <si>
    <t>7,56</t>
  </si>
  <si>
    <t>7,2</t>
  </si>
  <si>
    <t>215,8</t>
  </si>
  <si>
    <t>52,47</t>
  </si>
  <si>
    <t>39,08</t>
  </si>
  <si>
    <t>211,25</t>
  </si>
  <si>
    <t>51,15</t>
  </si>
  <si>
    <t>214,27</t>
  </si>
  <si>
    <t>52,65</t>
  </si>
  <si>
    <t>212,2</t>
  </si>
  <si>
    <t>92,16</t>
  </si>
  <si>
    <t>51,29</t>
  </si>
  <si>
    <t>213,4</t>
  </si>
  <si>
    <t>85,93</t>
  </si>
  <si>
    <t>52,54</t>
  </si>
  <si>
    <t>6,97</t>
  </si>
  <si>
    <t>5,42</t>
  </si>
  <si>
    <t>211,98</t>
  </si>
  <si>
    <t>103,37</t>
  </si>
  <si>
    <t>48,79</t>
  </si>
  <si>
    <t>4,76</t>
  </si>
  <si>
    <t>78,06</t>
  </si>
  <si>
    <t>54,3</t>
  </si>
  <si>
    <t>7,55</t>
  </si>
  <si>
    <t>7,24</t>
  </si>
  <si>
    <t>211,7</t>
  </si>
  <si>
    <t>87,18</t>
  </si>
  <si>
    <t>8,38</t>
  </si>
  <si>
    <t>9,85</t>
  </si>
  <si>
    <t>213,7</t>
  </si>
  <si>
    <t>90,29</t>
  </si>
  <si>
    <t>6,32</t>
  </si>
  <si>
    <t>3,38</t>
  </si>
  <si>
    <t>213,12</t>
  </si>
  <si>
    <t>50,92</t>
  </si>
  <si>
    <t>52,85</t>
  </si>
  <si>
    <t>214,91</t>
  </si>
  <si>
    <t>100,64</t>
  </si>
  <si>
    <t>49,05</t>
  </si>
  <si>
    <t>1,58</t>
  </si>
  <si>
    <t>-11,51</t>
  </si>
  <si>
    <t>6,86</t>
  </si>
  <si>
    <t>39,07</t>
  </si>
  <si>
    <t>1,2</t>
  </si>
  <si>
    <t>79,69</t>
  </si>
  <si>
    <t>54,21</t>
  </si>
  <si>
    <t>11,67</t>
  </si>
  <si>
    <t>20,19</t>
  </si>
  <si>
    <t>7,98</t>
  </si>
  <si>
    <t>215,69</t>
  </si>
  <si>
    <t>88,74</t>
  </si>
  <si>
    <t>51,64</t>
  </si>
  <si>
    <t>1,21</t>
  </si>
  <si>
    <t>210,79</t>
  </si>
  <si>
    <t>89,08</t>
  </si>
  <si>
    <t>52,15</t>
  </si>
  <si>
    <t>6,2</t>
  </si>
  <si>
    <t>8,21</t>
  </si>
  <si>
    <t>213,82</t>
  </si>
  <si>
    <t>82,03</t>
  </si>
  <si>
    <t>53,37</t>
  </si>
  <si>
    <t>7,87</t>
  </si>
  <si>
    <t>211,96</t>
  </si>
  <si>
    <t>94,94</t>
  </si>
  <si>
    <t>50,69</t>
  </si>
  <si>
    <t>4,7</t>
  </si>
  <si>
    <t>6,61</t>
  </si>
  <si>
    <t>215,26</t>
  </si>
  <si>
    <t>49,91</t>
  </si>
  <si>
    <t>60,43</t>
  </si>
  <si>
    <t>8,73</t>
  </si>
  <si>
    <t>10,95</t>
  </si>
  <si>
    <t>16,55</t>
  </si>
  <si>
    <t>211,07</t>
  </si>
  <si>
    <t>116,37</t>
  </si>
  <si>
    <t>45,98</t>
  </si>
  <si>
    <t>6,14</t>
  </si>
  <si>
    <t>2,81</t>
  </si>
  <si>
    <t>5,9</t>
  </si>
  <si>
    <t>3.43</t>
  </si>
  <si>
    <t>5.02</t>
  </si>
  <si>
    <t>10.30</t>
  </si>
  <si>
    <t>8.59</t>
  </si>
  <si>
    <t>22.19</t>
  </si>
  <si>
    <t>9.51</t>
  </si>
  <si>
    <t>23.78</t>
  </si>
  <si>
    <t>209.59</t>
  </si>
  <si>
    <t>112.54</t>
  </si>
  <si>
    <t>47.02</t>
  </si>
  <si>
    <t>5.33</t>
  </si>
  <si>
    <t>0.27</t>
  </si>
  <si>
    <t>6.13</t>
  </si>
  <si>
    <t>39.21</t>
  </si>
  <si>
    <t>12.59</t>
  </si>
  <si>
    <t>4.20</t>
  </si>
  <si>
    <t>10.49</t>
  </si>
  <si>
    <t>14.69</t>
  </si>
  <si>
    <t>11.62</t>
  </si>
  <si>
    <t>15.74</t>
  </si>
  <si>
    <t>230.84</t>
  </si>
  <si>
    <t>111.91</t>
  </si>
  <si>
    <t>44.76</t>
  </si>
  <si>
    <t>6.5</t>
  </si>
  <si>
    <t>3.94</t>
  </si>
  <si>
    <t>5.92</t>
  </si>
  <si>
    <t>42.25</t>
  </si>
  <si>
    <t>4,2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</si>
</sst>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Segoe UI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2" fontId="0" fillId="0" borderId="4" xfId="0" applyNumberForma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2" fontId="0" fillId="0" borderId="4" xfId="0" applyNumberFormat="1" applyFont="1" applyBorder="1" applyAlignment="1">
      <alignment horizontal="center" wrapText="1"/>
    </xf>
    <xf numFmtId="0" fontId="0" fillId="4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49"/>
  <sheetViews>
    <sheetView tabSelected="1" topLeftCell="B1" workbookViewId="0">
      <selection activeCell="C2" sqref="C2"/>
    </sheetView>
  </sheetViews>
  <sheetFormatPr defaultRowHeight="15" x14ac:dyDescent="0.25"/>
  <sheetData>
    <row r="1" spans="1:21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607</v>
      </c>
      <c r="L1" s="10" t="s">
        <v>608</v>
      </c>
      <c r="M1" s="10" t="s">
        <v>609</v>
      </c>
      <c r="N1" s="10" t="s">
        <v>610</v>
      </c>
      <c r="O1" s="10" t="s">
        <v>611</v>
      </c>
      <c r="P1" s="10" t="s">
        <v>612</v>
      </c>
      <c r="Q1" s="10" t="s">
        <v>613</v>
      </c>
      <c r="R1" s="11" t="s">
        <v>614</v>
      </c>
      <c r="S1" s="11" t="s">
        <v>615</v>
      </c>
      <c r="T1" s="10" t="s">
        <v>616</v>
      </c>
      <c r="U1" s="10" t="s">
        <v>617</v>
      </c>
    </row>
    <row r="2" spans="1:21" ht="15.75" thickBot="1" x14ac:dyDescent="0.3">
      <c r="A2" s="3" t="s">
        <v>929</v>
      </c>
      <c r="B2" s="3" t="s">
        <v>10</v>
      </c>
      <c r="C2" s="3" t="s">
        <v>930</v>
      </c>
      <c r="D2" s="3" t="s">
        <v>931</v>
      </c>
      <c r="E2" s="3" t="s">
        <v>931</v>
      </c>
      <c r="F2" s="3" t="s">
        <v>929</v>
      </c>
      <c r="G2" s="3" t="s">
        <v>932</v>
      </c>
      <c r="H2" s="3" t="s">
        <v>933</v>
      </c>
      <c r="I2" s="3" t="s">
        <v>934</v>
      </c>
      <c r="J2" s="4" t="s">
        <v>935</v>
      </c>
      <c r="K2" s="12" t="s">
        <v>936</v>
      </c>
      <c r="L2" s="12" t="s">
        <v>937</v>
      </c>
      <c r="M2" s="12" t="s">
        <v>938</v>
      </c>
      <c r="N2" s="12" t="s">
        <v>939</v>
      </c>
      <c r="O2" s="12" t="s">
        <v>940</v>
      </c>
      <c r="P2" s="12" t="s">
        <v>941</v>
      </c>
      <c r="Q2" s="12" t="s">
        <v>942</v>
      </c>
      <c r="R2" s="16">
        <f>-0.167*U2*1000+184.95</f>
        <v>39.659999999999997</v>
      </c>
      <c r="S2" s="13">
        <f>-12.88*LN(T2)+61.3</f>
        <v>58.633657498329875</v>
      </c>
      <c r="T2" s="14">
        <v>1.23</v>
      </c>
      <c r="U2" s="15">
        <v>0.87</v>
      </c>
    </row>
    <row r="3" spans="1:21" ht="15.75" thickBot="1" x14ac:dyDescent="0.3">
      <c r="A3" s="5" t="s">
        <v>16</v>
      </c>
      <c r="B3" s="17" t="s">
        <v>956</v>
      </c>
      <c r="C3" s="17" t="s">
        <v>941</v>
      </c>
      <c r="D3" s="5" t="s">
        <v>943</v>
      </c>
      <c r="E3" s="5" t="s">
        <v>943</v>
      </c>
      <c r="F3" s="5" t="s">
        <v>944</v>
      </c>
      <c r="G3" s="5" t="s">
        <v>945</v>
      </c>
      <c r="H3" s="5" t="s">
        <v>946</v>
      </c>
      <c r="I3" s="5" t="s">
        <v>947</v>
      </c>
      <c r="J3" s="6" t="s">
        <v>948</v>
      </c>
      <c r="K3" s="12" t="s">
        <v>949</v>
      </c>
      <c r="L3" s="12" t="s">
        <v>950</v>
      </c>
      <c r="M3" s="12" t="s">
        <v>951</v>
      </c>
      <c r="N3" s="12" t="s">
        <v>952</v>
      </c>
      <c r="O3" s="12" t="s">
        <v>953</v>
      </c>
      <c r="P3" s="12" t="s">
        <v>954</v>
      </c>
      <c r="Q3" s="12" t="s">
        <v>955</v>
      </c>
      <c r="R3" s="13">
        <f t="shared" ref="R3:R66" si="0">-0.167*U3*1000+184.95</f>
        <v>27.96999999999997</v>
      </c>
      <c r="S3" s="13">
        <f t="shared" ref="S3:S66" si="1">-12.88*LN(T3)+61.3</f>
        <v>57.92074827365871</v>
      </c>
      <c r="T3" s="14">
        <v>1.3</v>
      </c>
      <c r="U3" s="15">
        <v>0.94</v>
      </c>
    </row>
    <row r="4" spans="1:21" ht="15.75" thickBot="1" x14ac:dyDescent="0.3">
      <c r="A4" s="3" t="s">
        <v>20</v>
      </c>
      <c r="B4" s="3" t="s">
        <v>21</v>
      </c>
      <c r="C4" s="3" t="s">
        <v>22</v>
      </c>
      <c r="D4" s="3" t="s">
        <v>23</v>
      </c>
      <c r="E4" s="3" t="s">
        <v>23</v>
      </c>
      <c r="F4" s="3" t="s">
        <v>20</v>
      </c>
      <c r="G4" s="3" t="s">
        <v>24</v>
      </c>
      <c r="H4" s="3" t="s">
        <v>25</v>
      </c>
      <c r="I4" s="3" t="s">
        <v>26</v>
      </c>
      <c r="J4" s="4" t="s">
        <v>27</v>
      </c>
      <c r="K4" s="12">
        <v>212.88</v>
      </c>
      <c r="L4" s="12">
        <v>108.08</v>
      </c>
      <c r="M4" s="12">
        <v>47.62</v>
      </c>
      <c r="N4" s="12">
        <v>6.03</v>
      </c>
      <c r="O4" s="12">
        <v>2.4700000000000002</v>
      </c>
      <c r="P4" s="12">
        <v>6.19</v>
      </c>
      <c r="Q4" s="12">
        <v>39.17</v>
      </c>
      <c r="R4" s="13">
        <f t="shared" si="0"/>
        <v>39.659999999999997</v>
      </c>
      <c r="S4" s="13">
        <f t="shared" si="1"/>
        <v>58.844809768240587</v>
      </c>
      <c r="T4" s="14">
        <v>1.21</v>
      </c>
      <c r="U4" s="15">
        <v>0.87</v>
      </c>
    </row>
    <row r="5" spans="1:21" ht="15.75" thickBot="1" x14ac:dyDescent="0.3">
      <c r="A5" s="5" t="s">
        <v>28</v>
      </c>
      <c r="B5" s="5" t="s">
        <v>28</v>
      </c>
      <c r="C5" s="5" t="s">
        <v>29</v>
      </c>
      <c r="D5" s="5" t="s">
        <v>30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6" t="s">
        <v>35</v>
      </c>
      <c r="K5" s="12">
        <v>214.5</v>
      </c>
      <c r="L5" s="12">
        <v>82.63</v>
      </c>
      <c r="M5" s="12">
        <v>53.15</v>
      </c>
      <c r="N5" s="12">
        <v>5.88</v>
      </c>
      <c r="O5" s="12">
        <v>2</v>
      </c>
      <c r="P5" s="12">
        <v>8.51</v>
      </c>
      <c r="Q5" s="12">
        <v>39.119999999999997</v>
      </c>
      <c r="R5" s="13">
        <f t="shared" si="0"/>
        <v>39.659999999999997</v>
      </c>
      <c r="S5" s="13">
        <f t="shared" si="1"/>
        <v>58.529365430533737</v>
      </c>
      <c r="T5" s="14">
        <v>1.24</v>
      </c>
      <c r="U5" s="15">
        <v>0.87</v>
      </c>
    </row>
    <row r="6" spans="1:21" ht="15.75" thickBot="1" x14ac:dyDescent="0.3">
      <c r="A6" s="3" t="s">
        <v>36</v>
      </c>
      <c r="B6" s="3" t="s">
        <v>36</v>
      </c>
      <c r="C6" s="3" t="s">
        <v>37</v>
      </c>
      <c r="D6" s="3" t="s">
        <v>38</v>
      </c>
      <c r="E6" s="3" t="s">
        <v>38</v>
      </c>
      <c r="F6" s="3" t="s">
        <v>36</v>
      </c>
      <c r="G6" s="3" t="s">
        <v>39</v>
      </c>
      <c r="H6" s="3" t="s">
        <v>40</v>
      </c>
      <c r="I6" s="3" t="s">
        <v>41</v>
      </c>
      <c r="J6" s="4" t="s">
        <v>42</v>
      </c>
      <c r="K6" s="12">
        <v>213.57</v>
      </c>
      <c r="L6" s="12">
        <v>85.57</v>
      </c>
      <c r="M6" s="12">
        <v>52.6</v>
      </c>
      <c r="N6" s="12">
        <v>6.94</v>
      </c>
      <c r="O6" s="12">
        <v>5.33</v>
      </c>
      <c r="P6" s="12">
        <v>7.61</v>
      </c>
      <c r="Q6" s="12">
        <v>39.159999999999997</v>
      </c>
      <c r="R6" s="13">
        <f t="shared" si="0"/>
        <v>39.659999999999997</v>
      </c>
      <c r="S6" s="13">
        <f t="shared" si="1"/>
        <v>58.529365430533737</v>
      </c>
      <c r="T6" s="14">
        <v>1.24</v>
      </c>
      <c r="U6" s="15">
        <v>0.87</v>
      </c>
    </row>
    <row r="7" spans="1:21" ht="15.75" thickBot="1" x14ac:dyDescent="0.3">
      <c r="A7" s="5" t="s">
        <v>43</v>
      </c>
      <c r="B7" s="5" t="s">
        <v>44</v>
      </c>
      <c r="C7" s="5" t="s">
        <v>45</v>
      </c>
      <c r="D7" s="5" t="s">
        <v>46</v>
      </c>
      <c r="E7" s="5" t="s">
        <v>46</v>
      </c>
      <c r="F7" s="5" t="s">
        <v>44</v>
      </c>
      <c r="G7" s="5" t="s">
        <v>47</v>
      </c>
      <c r="H7" s="5" t="s">
        <v>48</v>
      </c>
      <c r="I7" s="5" t="s">
        <v>49</v>
      </c>
      <c r="J7" s="6" t="s">
        <v>50</v>
      </c>
      <c r="K7" s="12">
        <v>212.55</v>
      </c>
      <c r="L7" s="12">
        <v>103.9</v>
      </c>
      <c r="M7" s="12">
        <v>48.6</v>
      </c>
      <c r="N7" s="12">
        <v>5.28</v>
      </c>
      <c r="O7" s="12">
        <v>0.11</v>
      </c>
      <c r="P7" s="12">
        <v>6.7</v>
      </c>
      <c r="Q7" s="12">
        <v>39.14</v>
      </c>
      <c r="R7" s="13">
        <f t="shared" si="0"/>
        <v>39.659999999999997</v>
      </c>
      <c r="S7" s="13">
        <f t="shared" si="1"/>
        <v>58.738800939362271</v>
      </c>
      <c r="T7" s="14">
        <v>1.22</v>
      </c>
      <c r="U7" s="15">
        <v>0.87</v>
      </c>
    </row>
    <row r="8" spans="1:21" ht="15.75" thickBot="1" x14ac:dyDescent="0.3">
      <c r="A8" s="3" t="s">
        <v>51</v>
      </c>
      <c r="B8" s="3" t="s">
        <v>52</v>
      </c>
      <c r="C8" s="3" t="s">
        <v>53</v>
      </c>
      <c r="D8" s="3" t="s">
        <v>54</v>
      </c>
      <c r="E8" s="3" t="s">
        <v>54</v>
      </c>
      <c r="F8" s="3" t="s">
        <v>51</v>
      </c>
      <c r="G8" s="3" t="s">
        <v>55</v>
      </c>
      <c r="H8" s="3" t="s">
        <v>56</v>
      </c>
      <c r="I8" s="3" t="s">
        <v>57</v>
      </c>
      <c r="J8" s="4" t="s">
        <v>58</v>
      </c>
      <c r="K8" s="12">
        <v>212.21</v>
      </c>
      <c r="L8" s="12">
        <v>87.82</v>
      </c>
      <c r="M8" s="12">
        <v>52.26</v>
      </c>
      <c r="N8" s="12">
        <v>5.65</v>
      </c>
      <c r="O8" s="12">
        <v>1.27</v>
      </c>
      <c r="P8" s="12">
        <v>7.55</v>
      </c>
      <c r="Q8" s="12">
        <v>33.19</v>
      </c>
      <c r="R8" s="13">
        <f t="shared" si="0"/>
        <v>39.659999999999997</v>
      </c>
      <c r="S8" s="13">
        <f t="shared" si="1"/>
        <v>58.425911059072973</v>
      </c>
      <c r="T8" s="14">
        <v>1.25</v>
      </c>
      <c r="U8" s="15">
        <v>0.87</v>
      </c>
    </row>
    <row r="9" spans="1:21" ht="15.75" thickBot="1" x14ac:dyDescent="0.3">
      <c r="A9" s="5" t="s">
        <v>59</v>
      </c>
      <c r="B9" s="5" t="s">
        <v>59</v>
      </c>
      <c r="C9" s="5" t="s">
        <v>60</v>
      </c>
      <c r="D9" s="5" t="s">
        <v>61</v>
      </c>
      <c r="E9" s="5" t="s">
        <v>61</v>
      </c>
      <c r="F9" s="5" t="s">
        <v>62</v>
      </c>
      <c r="G9" s="5" t="s">
        <v>63</v>
      </c>
      <c r="H9" s="5" t="s">
        <v>64</v>
      </c>
      <c r="I9" s="5" t="s">
        <v>24</v>
      </c>
      <c r="J9" s="6" t="s">
        <v>65</v>
      </c>
      <c r="K9" s="12">
        <v>214.4</v>
      </c>
      <c r="L9" s="12">
        <v>105.7</v>
      </c>
      <c r="M9" s="12">
        <v>47.97</v>
      </c>
      <c r="N9" s="12">
        <v>5.44</v>
      </c>
      <c r="O9" s="12">
        <v>0.61</v>
      </c>
      <c r="P9" s="12">
        <v>6.06</v>
      </c>
      <c r="Q9" s="12">
        <v>39.07</v>
      </c>
      <c r="R9" s="13">
        <f t="shared" si="0"/>
        <v>39.659999999999997</v>
      </c>
      <c r="S9" s="13">
        <f t="shared" si="1"/>
        <v>59.059481404250114</v>
      </c>
      <c r="T9" s="14">
        <v>1.19</v>
      </c>
      <c r="U9" s="15">
        <v>0.87</v>
      </c>
    </row>
    <row r="10" spans="1:21" ht="15.75" thickBot="1" x14ac:dyDescent="0.3">
      <c r="A10" s="3" t="s">
        <v>66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66</v>
      </c>
      <c r="G10" s="3" t="s">
        <v>70</v>
      </c>
      <c r="H10" s="3" t="s">
        <v>71</v>
      </c>
      <c r="I10" s="3" t="s">
        <v>72</v>
      </c>
      <c r="J10" s="4" t="s">
        <v>73</v>
      </c>
      <c r="K10" s="12">
        <v>211.86</v>
      </c>
      <c r="L10" s="12">
        <v>80.05</v>
      </c>
      <c r="M10" s="12">
        <v>54.05</v>
      </c>
      <c r="N10" s="12">
        <v>6.63</v>
      </c>
      <c r="O10" s="12">
        <v>4.3499999999999996</v>
      </c>
      <c r="P10" s="12">
        <v>8.6999999999999993</v>
      </c>
      <c r="Q10" s="12">
        <v>39.21</v>
      </c>
      <c r="R10" s="13">
        <f t="shared" si="0"/>
        <v>39.659999999999997</v>
      </c>
      <c r="S10" s="13">
        <f t="shared" si="1"/>
        <v>58.22146232193996</v>
      </c>
      <c r="T10" s="14">
        <v>1.27</v>
      </c>
      <c r="U10" s="15">
        <v>0.87</v>
      </c>
    </row>
    <row r="11" spans="1:21" ht="15.75" thickBot="1" x14ac:dyDescent="0.3">
      <c r="A11" s="5" t="s">
        <v>74</v>
      </c>
      <c r="B11" s="5" t="s">
        <v>75</v>
      </c>
      <c r="C11" s="5" t="s">
        <v>76</v>
      </c>
      <c r="D11" s="5" t="s">
        <v>77</v>
      </c>
      <c r="E11" s="5" t="s">
        <v>78</v>
      </c>
      <c r="F11" s="5" t="s">
        <v>75</v>
      </c>
      <c r="G11" s="5" t="s">
        <v>79</v>
      </c>
      <c r="H11" s="5" t="s">
        <v>80</v>
      </c>
      <c r="I11" s="5" t="s">
        <v>81</v>
      </c>
      <c r="J11" s="6" t="s">
        <v>82</v>
      </c>
      <c r="K11" s="12">
        <v>214.15</v>
      </c>
      <c r="L11" s="12">
        <v>98.37</v>
      </c>
      <c r="M11" s="12">
        <v>49.65</v>
      </c>
      <c r="N11" s="12">
        <v>6.38</v>
      </c>
      <c r="O11" s="12">
        <v>3.57</v>
      </c>
      <c r="P11" s="12">
        <v>6.55</v>
      </c>
      <c r="Q11" s="12">
        <v>39.1</v>
      </c>
      <c r="R11" s="13">
        <f t="shared" si="0"/>
        <v>39.659999999999997</v>
      </c>
      <c r="S11" s="13">
        <f t="shared" si="1"/>
        <v>58.844809768240587</v>
      </c>
      <c r="T11" s="14">
        <v>1.21</v>
      </c>
      <c r="U11" s="15">
        <v>0.87</v>
      </c>
    </row>
    <row r="12" spans="1:21" ht="15.75" thickBot="1" x14ac:dyDescent="0.3">
      <c r="A12" s="3" t="s">
        <v>31</v>
      </c>
      <c r="B12" s="3" t="s">
        <v>28</v>
      </c>
      <c r="C12" s="3" t="s">
        <v>29</v>
      </c>
      <c r="D12" s="3" t="s">
        <v>83</v>
      </c>
      <c r="E12" s="3" t="s">
        <v>30</v>
      </c>
      <c r="F12" s="3" t="s">
        <v>31</v>
      </c>
      <c r="G12" s="3" t="s">
        <v>32</v>
      </c>
      <c r="H12" s="3" t="s">
        <v>84</v>
      </c>
      <c r="I12" s="3" t="s">
        <v>85</v>
      </c>
      <c r="J12" s="4" t="s">
        <v>35</v>
      </c>
      <c r="K12" s="12">
        <v>213.88</v>
      </c>
      <c r="L12" s="12">
        <v>81.23</v>
      </c>
      <c r="M12" s="12">
        <v>53.54</v>
      </c>
      <c r="N12" s="12">
        <v>6.84</v>
      </c>
      <c r="O12" s="12">
        <v>5.01</v>
      </c>
      <c r="P12" s="12">
        <v>7.36</v>
      </c>
      <c r="Q12" s="12">
        <v>39.14</v>
      </c>
      <c r="R12" s="13">
        <f t="shared" si="0"/>
        <v>39.659999999999997</v>
      </c>
      <c r="S12" s="13">
        <f t="shared" si="1"/>
        <v>58.425911059072973</v>
      </c>
      <c r="T12" s="14">
        <v>1.25</v>
      </c>
      <c r="U12" s="15">
        <v>0.87</v>
      </c>
    </row>
    <row r="13" spans="1:21" ht="15.75" thickBot="1" x14ac:dyDescent="0.3">
      <c r="A13" s="5" t="s">
        <v>29</v>
      </c>
      <c r="B13" s="5" t="s">
        <v>29</v>
      </c>
      <c r="C13" s="5" t="s">
        <v>86</v>
      </c>
      <c r="D13" s="5" t="s">
        <v>87</v>
      </c>
      <c r="E13" s="5" t="s">
        <v>88</v>
      </c>
      <c r="F13" s="5" t="s">
        <v>89</v>
      </c>
      <c r="G13" s="5" t="s">
        <v>90</v>
      </c>
      <c r="H13" s="5" t="s">
        <v>91</v>
      </c>
      <c r="I13" s="5" t="s">
        <v>92</v>
      </c>
      <c r="J13" s="6" t="s">
        <v>93</v>
      </c>
      <c r="K13" s="12">
        <v>213</v>
      </c>
      <c r="L13" s="12">
        <v>98.26</v>
      </c>
      <c r="M13" s="12">
        <v>49.82</v>
      </c>
      <c r="N13" s="12">
        <v>5.41</v>
      </c>
      <c r="O13" s="12">
        <v>0.52</v>
      </c>
      <c r="P13" s="12">
        <v>6.65</v>
      </c>
      <c r="Q13" s="12">
        <v>39.15</v>
      </c>
      <c r="R13" s="13">
        <f t="shared" si="0"/>
        <v>39.659999999999997</v>
      </c>
      <c r="S13" s="13">
        <f t="shared" si="1"/>
        <v>58.738800939362271</v>
      </c>
      <c r="T13" s="14">
        <v>1.22</v>
      </c>
      <c r="U13" s="15">
        <v>0.87</v>
      </c>
    </row>
    <row r="14" spans="1:21" ht="15.75" thickBot="1" x14ac:dyDescent="0.3">
      <c r="A14" s="3" t="s">
        <v>44</v>
      </c>
      <c r="B14" s="3" t="s">
        <v>44</v>
      </c>
      <c r="C14" s="3" t="s">
        <v>45</v>
      </c>
      <c r="D14" s="3" t="s">
        <v>94</v>
      </c>
      <c r="E14" s="3" t="s">
        <v>46</v>
      </c>
      <c r="F14" s="3" t="s">
        <v>44</v>
      </c>
      <c r="G14" s="3" t="s">
        <v>47</v>
      </c>
      <c r="H14" s="3" t="s">
        <v>95</v>
      </c>
      <c r="I14" s="3" t="s">
        <v>96</v>
      </c>
      <c r="J14" s="4" t="s">
        <v>50</v>
      </c>
      <c r="K14" s="12">
        <v>212.01</v>
      </c>
      <c r="L14" s="12">
        <v>102.66</v>
      </c>
      <c r="M14" s="12">
        <v>48.95</v>
      </c>
      <c r="N14" s="12">
        <v>6.15</v>
      </c>
      <c r="O14" s="12">
        <v>2.84</v>
      </c>
      <c r="P14" s="12">
        <v>6.16</v>
      </c>
      <c r="Q14" s="12">
        <v>39.159999999999997</v>
      </c>
      <c r="R14" s="13">
        <f t="shared" si="0"/>
        <v>39.659999999999997</v>
      </c>
      <c r="S14" s="13">
        <f t="shared" si="1"/>
        <v>58.738800939362271</v>
      </c>
      <c r="T14" s="14">
        <v>1.22</v>
      </c>
      <c r="U14" s="15">
        <v>0.87</v>
      </c>
    </row>
    <row r="15" spans="1:21" ht="15.75" thickBot="1" x14ac:dyDescent="0.3">
      <c r="A15" s="5" t="s">
        <v>97</v>
      </c>
      <c r="B15" s="5" t="s">
        <v>98</v>
      </c>
      <c r="C15" s="5" t="s">
        <v>28</v>
      </c>
      <c r="D15" s="5" t="s">
        <v>99</v>
      </c>
      <c r="E15" s="5" t="s">
        <v>100</v>
      </c>
      <c r="F15" s="5" t="s">
        <v>98</v>
      </c>
      <c r="G15" s="5" t="s">
        <v>101</v>
      </c>
      <c r="H15" s="5" t="s">
        <v>102</v>
      </c>
      <c r="I15" s="5" t="s">
        <v>103</v>
      </c>
      <c r="J15" s="6" t="s">
        <v>104</v>
      </c>
      <c r="K15" s="12">
        <v>213.73</v>
      </c>
      <c r="L15" s="12">
        <v>80.39</v>
      </c>
      <c r="M15" s="12">
        <v>53.75</v>
      </c>
      <c r="N15" s="12">
        <v>6.02</v>
      </c>
      <c r="O15" s="12">
        <v>2.44</v>
      </c>
      <c r="P15" s="12">
        <v>8.01</v>
      </c>
      <c r="Q15" s="12">
        <v>39.159999999999997</v>
      </c>
      <c r="R15" s="13">
        <f t="shared" si="0"/>
        <v>39.659999999999997</v>
      </c>
      <c r="S15" s="13">
        <f t="shared" si="1"/>
        <v>58.425911059072973</v>
      </c>
      <c r="T15" s="14">
        <v>1.25</v>
      </c>
      <c r="U15" s="15">
        <v>0.87</v>
      </c>
    </row>
    <row r="16" spans="1:21" ht="15.75" thickBot="1" x14ac:dyDescent="0.3">
      <c r="A16" s="3" t="s">
        <v>105</v>
      </c>
      <c r="B16" s="3" t="s">
        <v>106</v>
      </c>
      <c r="C16" s="3" t="s">
        <v>107</v>
      </c>
      <c r="D16" s="3" t="s">
        <v>108</v>
      </c>
      <c r="E16" s="3" t="s">
        <v>109</v>
      </c>
      <c r="F16" s="3" t="s">
        <v>105</v>
      </c>
      <c r="G16" s="3" t="s">
        <v>110</v>
      </c>
      <c r="H16" s="3" t="s">
        <v>111</v>
      </c>
      <c r="I16" s="3" t="s">
        <v>112</v>
      </c>
      <c r="J16" s="4" t="s">
        <v>113</v>
      </c>
      <c r="K16" s="12">
        <v>212.12</v>
      </c>
      <c r="L16" s="12">
        <v>95.63</v>
      </c>
      <c r="M16" s="12">
        <v>50.51</v>
      </c>
      <c r="N16" s="12">
        <v>5.66</v>
      </c>
      <c r="O16" s="12">
        <v>1.31</v>
      </c>
      <c r="P16" s="12">
        <v>7.05</v>
      </c>
      <c r="Q16" s="12">
        <v>39.18</v>
      </c>
      <c r="R16" s="13">
        <f t="shared" si="0"/>
        <v>39.659999999999997</v>
      </c>
      <c r="S16" s="13">
        <f t="shared" si="1"/>
        <v>58.529365430533737</v>
      </c>
      <c r="T16" s="14">
        <v>1.24</v>
      </c>
      <c r="U16" s="15">
        <v>0.87</v>
      </c>
    </row>
    <row r="17" spans="1:21" ht="15.75" thickBot="1" x14ac:dyDescent="0.3">
      <c r="A17" s="5" t="s">
        <v>114</v>
      </c>
      <c r="B17" s="5" t="s">
        <v>114</v>
      </c>
      <c r="C17" s="5" t="s">
        <v>115</v>
      </c>
      <c r="D17" s="5" t="s">
        <v>116</v>
      </c>
      <c r="E17" s="5" t="s">
        <v>117</v>
      </c>
      <c r="F17" s="5" t="s">
        <v>118</v>
      </c>
      <c r="G17" s="5" t="s">
        <v>109</v>
      </c>
      <c r="H17" s="5" t="s">
        <v>119</v>
      </c>
      <c r="I17" s="5" t="s">
        <v>120</v>
      </c>
      <c r="J17" s="6" t="s">
        <v>121</v>
      </c>
      <c r="K17" s="12">
        <v>217.12</v>
      </c>
      <c r="L17" s="12">
        <v>71.95</v>
      </c>
      <c r="M17" s="12">
        <v>55.25</v>
      </c>
      <c r="N17" s="12">
        <v>6.79</v>
      </c>
      <c r="O17" s="12">
        <v>4.8600000000000003</v>
      </c>
      <c r="P17" s="12">
        <v>8.56</v>
      </c>
      <c r="Q17" s="12">
        <v>39.07</v>
      </c>
      <c r="R17" s="13">
        <f t="shared" si="0"/>
        <v>39.659999999999997</v>
      </c>
      <c r="S17" s="13">
        <f t="shared" si="1"/>
        <v>58.633657498329875</v>
      </c>
      <c r="T17" s="14">
        <v>1.23</v>
      </c>
      <c r="U17" s="15">
        <v>0.87</v>
      </c>
    </row>
    <row r="18" spans="1:21" ht="15.75" thickBot="1" x14ac:dyDescent="0.3">
      <c r="A18" s="3" t="s">
        <v>122</v>
      </c>
      <c r="B18" s="3" t="s">
        <v>122</v>
      </c>
      <c r="C18" s="3" t="s">
        <v>123</v>
      </c>
      <c r="D18" s="3" t="s">
        <v>124</v>
      </c>
      <c r="E18" s="3" t="s">
        <v>125</v>
      </c>
      <c r="F18" s="3" t="s">
        <v>122</v>
      </c>
      <c r="G18" s="3" t="s">
        <v>126</v>
      </c>
      <c r="H18" s="3" t="s">
        <v>127</v>
      </c>
      <c r="I18" s="3" t="s">
        <v>128</v>
      </c>
      <c r="J18" s="4" t="s">
        <v>129</v>
      </c>
      <c r="K18" s="12">
        <v>210.92</v>
      </c>
      <c r="L18" s="12">
        <v>108.62</v>
      </c>
      <c r="M18" s="12">
        <v>47.74</v>
      </c>
      <c r="N18" s="12">
        <v>5.0999999999999996</v>
      </c>
      <c r="O18" s="12">
        <v>-0.45</v>
      </c>
      <c r="P18" s="12">
        <v>6.84</v>
      </c>
      <c r="Q18" s="12">
        <v>39.19</v>
      </c>
      <c r="R18" s="13">
        <f t="shared" si="0"/>
        <v>39.659999999999997</v>
      </c>
      <c r="S18" s="13">
        <f t="shared" si="1"/>
        <v>58.633657498329875</v>
      </c>
      <c r="T18" s="14">
        <v>1.23</v>
      </c>
      <c r="U18" s="15">
        <v>0.87</v>
      </c>
    </row>
    <row r="19" spans="1:21" ht="15.75" thickBot="1" x14ac:dyDescent="0.3">
      <c r="A19" s="5" t="s">
        <v>60</v>
      </c>
      <c r="B19" s="5" t="s">
        <v>130</v>
      </c>
      <c r="C19" s="5" t="s">
        <v>131</v>
      </c>
      <c r="D19" s="5" t="s">
        <v>132</v>
      </c>
      <c r="E19" s="5" t="s">
        <v>133</v>
      </c>
      <c r="F19" s="5" t="s">
        <v>130</v>
      </c>
      <c r="G19" s="5" t="s">
        <v>134</v>
      </c>
      <c r="H19" s="5" t="s">
        <v>135</v>
      </c>
      <c r="I19" s="5" t="s">
        <v>136</v>
      </c>
      <c r="J19" s="6" t="s">
        <v>137</v>
      </c>
      <c r="K19" s="12">
        <v>215.95</v>
      </c>
      <c r="L19" s="12">
        <v>86.3</v>
      </c>
      <c r="M19" s="12">
        <v>52.16</v>
      </c>
      <c r="N19" s="12">
        <v>6.18</v>
      </c>
      <c r="O19" s="12">
        <v>2.94</v>
      </c>
      <c r="P19" s="12" t="s">
        <v>126</v>
      </c>
      <c r="Q19" s="12">
        <v>39.07</v>
      </c>
      <c r="R19" s="13">
        <f t="shared" si="0"/>
        <v>39.659999999999997</v>
      </c>
      <c r="S19" s="13">
        <f t="shared" si="1"/>
        <v>58.738800939362271</v>
      </c>
      <c r="T19" s="14">
        <v>1.22</v>
      </c>
      <c r="U19" s="15">
        <v>0.87</v>
      </c>
    </row>
    <row r="20" spans="1:21" ht="15.75" thickBot="1" x14ac:dyDescent="0.3">
      <c r="A20" s="3" t="s">
        <v>138</v>
      </c>
      <c r="B20" s="3" t="s">
        <v>139</v>
      </c>
      <c r="C20" s="3" t="s">
        <v>140</v>
      </c>
      <c r="D20" s="3" t="s">
        <v>141</v>
      </c>
      <c r="E20" s="3" t="s">
        <v>142</v>
      </c>
      <c r="F20" s="3" t="s">
        <v>138</v>
      </c>
      <c r="G20" s="3" t="s">
        <v>143</v>
      </c>
      <c r="H20" s="3" t="s">
        <v>144</v>
      </c>
      <c r="I20" s="3" t="s">
        <v>37</v>
      </c>
      <c r="J20" s="4" t="s">
        <v>145</v>
      </c>
      <c r="K20" s="12">
        <v>212.74</v>
      </c>
      <c r="L20" s="12">
        <v>110.52</v>
      </c>
      <c r="M20" s="12">
        <v>47.09</v>
      </c>
      <c r="N20" s="12">
        <v>5.25</v>
      </c>
      <c r="O20" s="12">
        <v>0.02</v>
      </c>
      <c r="P20" s="12">
        <v>6.18</v>
      </c>
      <c r="Q20" s="12">
        <v>39.130000000000003</v>
      </c>
      <c r="R20" s="13">
        <f t="shared" si="0"/>
        <v>39.659999999999997</v>
      </c>
      <c r="S20" s="13">
        <f t="shared" si="1"/>
        <v>58.951698348493863</v>
      </c>
      <c r="T20" s="14">
        <v>1.2</v>
      </c>
      <c r="U20" s="15">
        <v>0.87</v>
      </c>
    </row>
    <row r="21" spans="1:21" ht="15.75" thickBot="1" x14ac:dyDescent="0.3">
      <c r="A21" s="5" t="s">
        <v>146</v>
      </c>
      <c r="B21" s="5" t="s">
        <v>146</v>
      </c>
      <c r="C21" s="5" t="s">
        <v>147</v>
      </c>
      <c r="D21" s="5" t="s">
        <v>148</v>
      </c>
      <c r="E21" s="5" t="s">
        <v>149</v>
      </c>
      <c r="F21" s="5" t="s">
        <v>150</v>
      </c>
      <c r="G21" s="5" t="s">
        <v>151</v>
      </c>
      <c r="H21" s="5" t="s">
        <v>152</v>
      </c>
      <c r="I21" s="5" t="s">
        <v>153</v>
      </c>
      <c r="J21" s="6" t="s">
        <v>154</v>
      </c>
      <c r="K21" s="12">
        <v>214.37</v>
      </c>
      <c r="L21" s="12">
        <v>88.23</v>
      </c>
      <c r="M21" s="12">
        <v>51.91</v>
      </c>
      <c r="N21" s="12">
        <v>5.14</v>
      </c>
      <c r="O21" s="12">
        <v>-0.33</v>
      </c>
      <c r="P21" s="12">
        <v>8.0500000000000007</v>
      </c>
      <c r="Q21" s="12">
        <v>39.119999999999997</v>
      </c>
      <c r="R21" s="13">
        <f t="shared" si="0"/>
        <v>39.659999999999997</v>
      </c>
      <c r="S21" s="13">
        <f t="shared" si="1"/>
        <v>58.633657498329875</v>
      </c>
      <c r="T21" s="14">
        <v>1.23</v>
      </c>
      <c r="U21" s="15">
        <v>0.87</v>
      </c>
    </row>
    <row r="22" spans="1:21" ht="15.75" thickBot="1" x14ac:dyDescent="0.3">
      <c r="A22" s="3" t="s">
        <v>155</v>
      </c>
      <c r="B22" s="3" t="s">
        <v>155</v>
      </c>
      <c r="C22" s="3" t="s">
        <v>156</v>
      </c>
      <c r="D22" s="3" t="s">
        <v>157</v>
      </c>
      <c r="E22" s="3" t="s">
        <v>158</v>
      </c>
      <c r="F22" s="3" t="s">
        <v>155</v>
      </c>
      <c r="G22" s="3" t="s">
        <v>159</v>
      </c>
      <c r="H22" s="3" t="s">
        <v>160</v>
      </c>
      <c r="I22" s="3" t="s">
        <v>161</v>
      </c>
      <c r="J22" s="4" t="s">
        <v>162</v>
      </c>
      <c r="K22" s="12">
        <v>213.46</v>
      </c>
      <c r="L22" s="12">
        <v>91.61</v>
      </c>
      <c r="M22" s="12">
        <v>51.26</v>
      </c>
      <c r="N22" s="12">
        <v>5.93</v>
      </c>
      <c r="O22" s="12">
        <v>2.15</v>
      </c>
      <c r="P22" s="12">
        <v>7.32</v>
      </c>
      <c r="Q22" s="12">
        <v>39.14</v>
      </c>
      <c r="R22" s="13">
        <f t="shared" si="0"/>
        <v>39.659999999999997</v>
      </c>
      <c r="S22" s="13">
        <f t="shared" si="1"/>
        <v>58.633657498329875</v>
      </c>
      <c r="T22" s="14">
        <v>1.23</v>
      </c>
      <c r="U22" s="15">
        <v>0.87</v>
      </c>
    </row>
    <row r="23" spans="1:21" ht="15.75" thickBot="1" x14ac:dyDescent="0.3">
      <c r="A23" s="5" t="s">
        <v>163</v>
      </c>
      <c r="B23" s="5" t="s">
        <v>164</v>
      </c>
      <c r="C23" s="5" t="s">
        <v>165</v>
      </c>
      <c r="D23" s="5" t="s">
        <v>166</v>
      </c>
      <c r="E23" s="5" t="s">
        <v>167</v>
      </c>
      <c r="F23" s="5" t="s">
        <v>164</v>
      </c>
      <c r="G23" s="5" t="s">
        <v>168</v>
      </c>
      <c r="H23" s="5" t="s">
        <v>169</v>
      </c>
      <c r="I23" s="5" t="s">
        <v>170</v>
      </c>
      <c r="J23" s="6" t="s">
        <v>171</v>
      </c>
      <c r="K23" s="12">
        <v>212.63</v>
      </c>
      <c r="L23" s="12">
        <v>106.54</v>
      </c>
      <c r="M23" s="12">
        <v>48</v>
      </c>
      <c r="N23" s="12">
        <v>4.68</v>
      </c>
      <c r="O23" s="12">
        <v>-1.77</v>
      </c>
      <c r="P23" s="12">
        <v>6.62</v>
      </c>
      <c r="Q23" s="12">
        <v>39.14</v>
      </c>
      <c r="R23" s="13">
        <f t="shared" si="0"/>
        <v>39.659999999999997</v>
      </c>
      <c r="S23" s="13">
        <f t="shared" si="1"/>
        <v>58.844809768240587</v>
      </c>
      <c r="T23" s="14">
        <v>1.21</v>
      </c>
      <c r="U23" s="15">
        <v>0.87</v>
      </c>
    </row>
    <row r="24" spans="1:21" ht="15.75" thickBot="1" x14ac:dyDescent="0.3">
      <c r="A24" s="3" t="s">
        <v>172</v>
      </c>
      <c r="B24" s="3" t="s">
        <v>173</v>
      </c>
      <c r="C24" s="3" t="s">
        <v>174</v>
      </c>
      <c r="D24" s="3" t="s">
        <v>175</v>
      </c>
      <c r="E24" s="3" t="s">
        <v>176</v>
      </c>
      <c r="F24" s="3" t="s">
        <v>172</v>
      </c>
      <c r="G24" s="3" t="s">
        <v>177</v>
      </c>
      <c r="H24" s="3" t="s">
        <v>178</v>
      </c>
      <c r="I24" s="3" t="s">
        <v>179</v>
      </c>
      <c r="J24" s="4" t="s">
        <v>180</v>
      </c>
      <c r="K24" s="12">
        <v>213.49</v>
      </c>
      <c r="L24" s="12">
        <v>84.76</v>
      </c>
      <c r="M24" s="12">
        <v>52.79</v>
      </c>
      <c r="N24" s="12">
        <v>5.4</v>
      </c>
      <c r="O24" s="12">
        <v>0.49</v>
      </c>
      <c r="P24" s="12">
        <v>9.0299999999999994</v>
      </c>
      <c r="Q24" s="12">
        <v>39.159999999999997</v>
      </c>
      <c r="R24" s="13">
        <f t="shared" si="0"/>
        <v>39.659999999999997</v>
      </c>
      <c r="S24" s="13">
        <f t="shared" si="1"/>
        <v>58.425911059072973</v>
      </c>
      <c r="T24" s="14">
        <v>1.25</v>
      </c>
      <c r="U24" s="15">
        <v>0.87</v>
      </c>
    </row>
    <row r="25" spans="1:21" ht="15.75" thickBot="1" x14ac:dyDescent="0.3">
      <c r="A25" s="5" t="s">
        <v>181</v>
      </c>
      <c r="B25" s="5" t="s">
        <v>181</v>
      </c>
      <c r="C25" s="5" t="s">
        <v>182</v>
      </c>
      <c r="D25" s="5" t="s">
        <v>183</v>
      </c>
      <c r="E25" s="5" t="s">
        <v>184</v>
      </c>
      <c r="F25" s="5" t="s">
        <v>185</v>
      </c>
      <c r="G25" s="5" t="s">
        <v>186</v>
      </c>
      <c r="H25" s="5" t="s">
        <v>187</v>
      </c>
      <c r="I25" s="5" t="s">
        <v>188</v>
      </c>
      <c r="J25" s="6" t="s">
        <v>189</v>
      </c>
      <c r="K25" s="12">
        <v>215.55</v>
      </c>
      <c r="L25" s="12">
        <v>101.98</v>
      </c>
      <c r="M25" s="12">
        <v>48.68</v>
      </c>
      <c r="N25" s="12">
        <v>5.21</v>
      </c>
      <c r="O25" s="12">
        <v>-0.11</v>
      </c>
      <c r="P25" s="12">
        <v>6.76</v>
      </c>
      <c r="Q25" s="12">
        <v>39.049999999999997</v>
      </c>
      <c r="R25" s="13">
        <f t="shared" si="0"/>
        <v>39.659999999999997</v>
      </c>
      <c r="S25" s="13">
        <f t="shared" si="1"/>
        <v>59.059481404250114</v>
      </c>
      <c r="T25" s="14">
        <v>1.19</v>
      </c>
      <c r="U25" s="15">
        <v>0.87</v>
      </c>
    </row>
    <row r="26" spans="1:21" ht="15.75" thickBot="1" x14ac:dyDescent="0.3">
      <c r="A26" s="3" t="s">
        <v>190</v>
      </c>
      <c r="B26" s="3" t="s">
        <v>190</v>
      </c>
      <c r="C26" s="3" t="s">
        <v>112</v>
      </c>
      <c r="D26" s="3" t="s">
        <v>191</v>
      </c>
      <c r="E26" s="3" t="s">
        <v>191</v>
      </c>
      <c r="F26" s="3" t="s">
        <v>190</v>
      </c>
      <c r="G26" s="3" t="s">
        <v>192</v>
      </c>
      <c r="H26" s="3" t="s">
        <v>193</v>
      </c>
      <c r="I26" s="3" t="s">
        <v>194</v>
      </c>
      <c r="J26" s="4" t="s">
        <v>195</v>
      </c>
      <c r="K26" s="12">
        <v>212.03</v>
      </c>
      <c r="L26" s="12">
        <v>85.82</v>
      </c>
      <c r="M26" s="12">
        <v>52.73</v>
      </c>
      <c r="N26" s="12">
        <v>5.82</v>
      </c>
      <c r="O26" s="12">
        <v>1.81</v>
      </c>
      <c r="P26" s="12">
        <v>8.1999999999999993</v>
      </c>
      <c r="Q26" s="12">
        <v>39.19</v>
      </c>
      <c r="R26" s="13">
        <f t="shared" si="0"/>
        <v>39.659999999999997</v>
      </c>
      <c r="S26" s="13">
        <f t="shared" si="1"/>
        <v>58.323281033991577</v>
      </c>
      <c r="T26" s="14">
        <v>1.26</v>
      </c>
      <c r="U26" s="15">
        <v>0.87</v>
      </c>
    </row>
    <row r="27" spans="1:21" ht="15.75" thickBot="1" x14ac:dyDescent="0.3">
      <c r="A27" s="5" t="s">
        <v>196</v>
      </c>
      <c r="B27" s="5" t="s">
        <v>197</v>
      </c>
      <c r="C27" s="5" t="s">
        <v>198</v>
      </c>
      <c r="D27" s="5" t="s">
        <v>199</v>
      </c>
      <c r="E27" s="5" t="s">
        <v>199</v>
      </c>
      <c r="F27" s="5" t="s">
        <v>197</v>
      </c>
      <c r="G27" s="5" t="s">
        <v>200</v>
      </c>
      <c r="H27" s="5" t="s">
        <v>201</v>
      </c>
      <c r="I27" s="5" t="s">
        <v>202</v>
      </c>
      <c r="J27" s="6" t="s">
        <v>203</v>
      </c>
      <c r="K27" s="12">
        <v>214.08</v>
      </c>
      <c r="L27" s="12">
        <v>101.74</v>
      </c>
      <c r="M27" s="12">
        <v>48.9</v>
      </c>
      <c r="N27" s="12">
        <v>5.62</v>
      </c>
      <c r="O27" s="12">
        <v>1.18</v>
      </c>
      <c r="P27" s="12">
        <v>6.49</v>
      </c>
      <c r="Q27" s="12">
        <v>39.11</v>
      </c>
      <c r="R27" s="13">
        <f t="shared" si="0"/>
        <v>39.659999999999997</v>
      </c>
      <c r="S27" s="13">
        <f t="shared" si="1"/>
        <v>58.844809768240587</v>
      </c>
      <c r="T27" s="14">
        <v>1.21</v>
      </c>
      <c r="U27" s="15">
        <v>0.87</v>
      </c>
    </row>
    <row r="28" spans="1:21" ht="15.75" thickBot="1" x14ac:dyDescent="0.3">
      <c r="A28" s="3" t="s">
        <v>204</v>
      </c>
      <c r="B28" s="3" t="s">
        <v>205</v>
      </c>
      <c r="C28" s="3" t="s">
        <v>206</v>
      </c>
      <c r="D28" s="3" t="s">
        <v>207</v>
      </c>
      <c r="E28" s="3" t="s">
        <v>207</v>
      </c>
      <c r="F28" s="3" t="s">
        <v>204</v>
      </c>
      <c r="G28" s="3" t="s">
        <v>166</v>
      </c>
      <c r="H28" s="3" t="s">
        <v>208</v>
      </c>
      <c r="I28" s="3" t="s">
        <v>209</v>
      </c>
      <c r="J28" s="4" t="s">
        <v>210</v>
      </c>
      <c r="K28" s="12">
        <v>215.16</v>
      </c>
      <c r="L28" s="12">
        <v>78.37</v>
      </c>
      <c r="M28" s="12">
        <v>54.03</v>
      </c>
      <c r="N28" s="12">
        <v>6.53</v>
      </c>
      <c r="O28" s="12">
        <v>4.04</v>
      </c>
      <c r="P28" s="12">
        <v>8.8000000000000007</v>
      </c>
      <c r="Q28" s="12">
        <v>39.119999999999997</v>
      </c>
      <c r="R28" s="13">
        <f t="shared" si="0"/>
        <v>39.659999999999997</v>
      </c>
      <c r="S28" s="13">
        <f t="shared" si="1"/>
        <v>58.529365430533737</v>
      </c>
      <c r="T28" s="14">
        <v>1.24</v>
      </c>
      <c r="U28" s="15">
        <v>0.87</v>
      </c>
    </row>
    <row r="29" spans="1:21" ht="15.75" thickBot="1" x14ac:dyDescent="0.3">
      <c r="A29" s="5" t="s">
        <v>211</v>
      </c>
      <c r="B29" s="5" t="s">
        <v>211</v>
      </c>
      <c r="C29" s="5" t="s">
        <v>212</v>
      </c>
      <c r="D29" s="5" t="s">
        <v>213</v>
      </c>
      <c r="E29" s="5" t="s">
        <v>213</v>
      </c>
      <c r="F29" s="5" t="s">
        <v>214</v>
      </c>
      <c r="G29" s="5" t="s">
        <v>215</v>
      </c>
      <c r="H29" s="5" t="s">
        <v>216</v>
      </c>
      <c r="I29" s="5" t="s">
        <v>217</v>
      </c>
      <c r="J29" s="6" t="s">
        <v>218</v>
      </c>
      <c r="K29" s="12">
        <v>213.96</v>
      </c>
      <c r="L29" s="12">
        <v>95.34</v>
      </c>
      <c r="M29" s="12">
        <v>50.36</v>
      </c>
      <c r="N29" s="12">
        <v>5.21</v>
      </c>
      <c r="O29" s="12">
        <v>-0.11</v>
      </c>
      <c r="P29" s="12">
        <v>7.44</v>
      </c>
      <c r="Q29" s="12">
        <v>39.11</v>
      </c>
      <c r="R29" s="13">
        <f t="shared" si="0"/>
        <v>39.659999999999997</v>
      </c>
      <c r="S29" s="13">
        <f t="shared" si="1"/>
        <v>58.738800939362271</v>
      </c>
      <c r="T29" s="14">
        <v>1.22</v>
      </c>
      <c r="U29" s="15">
        <v>0.87</v>
      </c>
    </row>
    <row r="30" spans="1:21" ht="15.75" thickBot="1" x14ac:dyDescent="0.3">
      <c r="A30" s="3" t="s">
        <v>219</v>
      </c>
      <c r="B30" s="3" t="s">
        <v>219</v>
      </c>
      <c r="C30" s="3" t="s">
        <v>220</v>
      </c>
      <c r="D30" s="3" t="s">
        <v>221</v>
      </c>
      <c r="E30" s="3" t="s">
        <v>221</v>
      </c>
      <c r="F30" s="3" t="s">
        <v>219</v>
      </c>
      <c r="G30" s="3" t="s">
        <v>222</v>
      </c>
      <c r="H30" s="3" t="s">
        <v>223</v>
      </c>
      <c r="I30" s="3" t="s">
        <v>224</v>
      </c>
      <c r="J30" s="4" t="s">
        <v>225</v>
      </c>
      <c r="K30" s="12">
        <v>213.19</v>
      </c>
      <c r="L30" s="12">
        <v>99.17</v>
      </c>
      <c r="M30" s="12">
        <v>49.59</v>
      </c>
      <c r="N30" s="12">
        <v>5.9</v>
      </c>
      <c r="O30" s="12">
        <v>2.06</v>
      </c>
      <c r="P30" s="12">
        <v>6.87</v>
      </c>
      <c r="Q30" s="12">
        <v>39.14</v>
      </c>
      <c r="R30" s="13">
        <f t="shared" si="0"/>
        <v>39.659999999999997</v>
      </c>
      <c r="S30" s="13">
        <f t="shared" si="1"/>
        <v>58.738800939362271</v>
      </c>
      <c r="T30" s="14">
        <v>1.22</v>
      </c>
      <c r="U30" s="15">
        <v>0.87</v>
      </c>
    </row>
    <row r="31" spans="1:21" ht="15.75" thickBot="1" x14ac:dyDescent="0.3">
      <c r="A31" s="5" t="s">
        <v>226</v>
      </c>
      <c r="B31" s="5" t="s">
        <v>227</v>
      </c>
      <c r="C31" s="5" t="s">
        <v>41</v>
      </c>
      <c r="D31" s="5" t="s">
        <v>228</v>
      </c>
      <c r="E31" s="5" t="s">
        <v>228</v>
      </c>
      <c r="F31" s="5" t="s">
        <v>227</v>
      </c>
      <c r="G31" s="5" t="s">
        <v>229</v>
      </c>
      <c r="H31" s="5" t="s">
        <v>230</v>
      </c>
      <c r="I31" s="5" t="s">
        <v>231</v>
      </c>
      <c r="J31" s="6" t="s">
        <v>232</v>
      </c>
      <c r="K31" s="12">
        <v>214.75</v>
      </c>
      <c r="L31" s="12">
        <v>77.87</v>
      </c>
      <c r="M31" s="12">
        <v>54.19</v>
      </c>
      <c r="N31" s="12">
        <v>5.77</v>
      </c>
      <c r="O31" s="12">
        <v>1.65</v>
      </c>
      <c r="P31" s="12">
        <v>9.61</v>
      </c>
      <c r="Q31" s="12">
        <v>39.119999999999997</v>
      </c>
      <c r="R31" s="13">
        <f t="shared" si="0"/>
        <v>39.659999999999997</v>
      </c>
      <c r="S31" s="13">
        <f t="shared" si="1"/>
        <v>58.529365430533737</v>
      </c>
      <c r="T31" s="14">
        <v>1.24</v>
      </c>
      <c r="U31" s="15">
        <v>0.87</v>
      </c>
    </row>
    <row r="32" spans="1:21" ht="15.75" thickBot="1" x14ac:dyDescent="0.3">
      <c r="A32" s="3" t="s">
        <v>233</v>
      </c>
      <c r="B32" s="3" t="s">
        <v>234</v>
      </c>
      <c r="C32" s="3" t="s">
        <v>235</v>
      </c>
      <c r="D32" s="3" t="s">
        <v>236</v>
      </c>
      <c r="E32" s="3" t="s">
        <v>236</v>
      </c>
      <c r="F32" s="3" t="s">
        <v>233</v>
      </c>
      <c r="G32" s="3" t="s">
        <v>237</v>
      </c>
      <c r="H32" s="3" t="s">
        <v>238</v>
      </c>
      <c r="I32" s="3" t="s">
        <v>239</v>
      </c>
      <c r="J32" s="4" t="s">
        <v>240</v>
      </c>
      <c r="K32" s="12">
        <v>212.25</v>
      </c>
      <c r="L32" s="12">
        <v>98.97</v>
      </c>
      <c r="M32" s="12">
        <v>49.75</v>
      </c>
      <c r="N32" s="12">
        <v>5.0599999999999996</v>
      </c>
      <c r="O32" s="12">
        <v>-0.57999999999999996</v>
      </c>
      <c r="P32" s="12">
        <v>6.93</v>
      </c>
      <c r="Q32" s="12">
        <v>39.17</v>
      </c>
      <c r="R32" s="13">
        <f t="shared" si="0"/>
        <v>39.659999999999997</v>
      </c>
      <c r="S32" s="13">
        <f t="shared" si="1"/>
        <v>58.633657498329875</v>
      </c>
      <c r="T32" s="14">
        <v>1.23</v>
      </c>
      <c r="U32" s="15">
        <v>0.87</v>
      </c>
    </row>
    <row r="33" spans="1:21" ht="15.75" thickBot="1" x14ac:dyDescent="0.3">
      <c r="A33" s="5" t="s">
        <v>241</v>
      </c>
      <c r="B33" s="5" t="s">
        <v>241</v>
      </c>
      <c r="C33" s="5" t="s">
        <v>242</v>
      </c>
      <c r="D33" s="5" t="s">
        <v>125</v>
      </c>
      <c r="E33" s="5" t="s">
        <v>125</v>
      </c>
      <c r="F33" s="5" t="s">
        <v>122</v>
      </c>
      <c r="G33" s="5" t="s">
        <v>126</v>
      </c>
      <c r="H33" s="5" t="s">
        <v>243</v>
      </c>
      <c r="I33" s="5" t="s">
        <v>244</v>
      </c>
      <c r="J33" s="6" t="s">
        <v>245</v>
      </c>
      <c r="K33" s="12">
        <v>216.65</v>
      </c>
      <c r="L33" s="12">
        <v>78.83</v>
      </c>
      <c r="M33" s="12">
        <v>53.76</v>
      </c>
      <c r="N33" s="12">
        <v>5.94</v>
      </c>
      <c r="O33" s="12">
        <v>2.1800000000000002</v>
      </c>
      <c r="P33" s="12">
        <v>8.09</v>
      </c>
      <c r="Q33" s="12">
        <v>39.08</v>
      </c>
      <c r="R33" s="13">
        <f t="shared" si="0"/>
        <v>39.659999999999997</v>
      </c>
      <c r="S33" s="13">
        <f t="shared" si="1"/>
        <v>58.738800939362271</v>
      </c>
      <c r="T33" s="14">
        <v>1.22</v>
      </c>
      <c r="U33" s="15">
        <v>0.87</v>
      </c>
    </row>
    <row r="34" spans="1:21" ht="15.75" thickBot="1" x14ac:dyDescent="0.3">
      <c r="A34" s="3" t="s">
        <v>246</v>
      </c>
      <c r="B34" s="3" t="s">
        <v>246</v>
      </c>
      <c r="C34" s="3" t="s">
        <v>247</v>
      </c>
      <c r="D34" s="3" t="s">
        <v>248</v>
      </c>
      <c r="E34" s="3" t="s">
        <v>248</v>
      </c>
      <c r="F34" s="3" t="s">
        <v>249</v>
      </c>
      <c r="G34" s="3" t="s">
        <v>250</v>
      </c>
      <c r="H34" s="3" t="s">
        <v>251</v>
      </c>
      <c r="I34" s="3" t="s">
        <v>252</v>
      </c>
      <c r="J34" s="4" t="s">
        <v>253</v>
      </c>
      <c r="K34" s="12">
        <v>210.56</v>
      </c>
      <c r="L34" s="12">
        <v>89.92</v>
      </c>
      <c r="M34" s="12">
        <v>51.99</v>
      </c>
      <c r="N34" s="12">
        <v>5.79</v>
      </c>
      <c r="O34" s="12">
        <v>1.71</v>
      </c>
      <c r="P34" s="12">
        <v>7.44</v>
      </c>
      <c r="Q34" s="12">
        <v>39.24</v>
      </c>
      <c r="R34" s="13">
        <f t="shared" si="0"/>
        <v>39.659999999999997</v>
      </c>
      <c r="S34" s="13">
        <f t="shared" si="1"/>
        <v>58.22146232193996</v>
      </c>
      <c r="T34" s="14">
        <v>1.27</v>
      </c>
      <c r="U34" s="15">
        <v>0.87</v>
      </c>
    </row>
    <row r="35" spans="1:21" ht="15.75" thickBot="1" x14ac:dyDescent="0.3">
      <c r="A35" s="5" t="s">
        <v>254</v>
      </c>
      <c r="B35" s="5" t="s">
        <v>255</v>
      </c>
      <c r="C35" s="5" t="s">
        <v>256</v>
      </c>
      <c r="D35" s="5" t="s">
        <v>257</v>
      </c>
      <c r="E35" s="5" t="s">
        <v>257</v>
      </c>
      <c r="F35" s="5" t="s">
        <v>254</v>
      </c>
      <c r="G35" s="5" t="s">
        <v>258</v>
      </c>
      <c r="H35" s="5" t="s">
        <v>259</v>
      </c>
      <c r="I35" s="5" t="s">
        <v>148</v>
      </c>
      <c r="J35" s="6" t="s">
        <v>260</v>
      </c>
      <c r="K35" s="12">
        <v>212.87</v>
      </c>
      <c r="L35" s="12">
        <v>108.1</v>
      </c>
      <c r="M35" s="12">
        <v>47.62</v>
      </c>
      <c r="N35" s="12">
        <v>5.57</v>
      </c>
      <c r="O35" s="12">
        <v>1.02</v>
      </c>
      <c r="P35" s="12">
        <v>5.98</v>
      </c>
      <c r="Q35" s="12">
        <v>39.119999999999997</v>
      </c>
      <c r="R35" s="13">
        <f t="shared" si="0"/>
        <v>39.659999999999997</v>
      </c>
      <c r="S35" s="13">
        <f t="shared" si="1"/>
        <v>58.844809768240587</v>
      </c>
      <c r="T35" s="14">
        <v>1.21</v>
      </c>
      <c r="U35" s="15">
        <v>0.87</v>
      </c>
    </row>
    <row r="36" spans="1:21" ht="15.75" thickBot="1" x14ac:dyDescent="0.3">
      <c r="A36" s="3" t="s">
        <v>261</v>
      </c>
      <c r="B36" s="3" t="s">
        <v>115</v>
      </c>
      <c r="C36" s="3" t="s">
        <v>262</v>
      </c>
      <c r="D36" s="3" t="s">
        <v>263</v>
      </c>
      <c r="E36" s="3" t="s">
        <v>263</v>
      </c>
      <c r="F36" s="3" t="s">
        <v>115</v>
      </c>
      <c r="G36" s="3" t="s">
        <v>264</v>
      </c>
      <c r="H36" s="3" t="s">
        <v>265</v>
      </c>
      <c r="I36" s="3" t="s">
        <v>266</v>
      </c>
      <c r="J36" s="4" t="s">
        <v>267</v>
      </c>
      <c r="K36" s="12">
        <v>213.94</v>
      </c>
      <c r="L36" s="12">
        <v>81.7</v>
      </c>
      <c r="M36" s="12">
        <v>53.43</v>
      </c>
      <c r="N36" s="12">
        <v>6.62</v>
      </c>
      <c r="O36" s="12">
        <v>4.32</v>
      </c>
      <c r="P36" s="12">
        <v>7.85</v>
      </c>
      <c r="Q36" s="12">
        <v>39.15</v>
      </c>
      <c r="R36" s="13">
        <f t="shared" si="0"/>
        <v>39.659999999999997</v>
      </c>
      <c r="S36" s="13">
        <f t="shared" si="1"/>
        <v>58.425911059072973</v>
      </c>
      <c r="T36" s="14">
        <v>1.25</v>
      </c>
      <c r="U36" s="15">
        <v>0.87</v>
      </c>
    </row>
    <row r="37" spans="1:21" ht="15.75" thickBot="1" x14ac:dyDescent="0.3">
      <c r="A37" s="5" t="s">
        <v>241</v>
      </c>
      <c r="B37" s="5" t="s">
        <v>241</v>
      </c>
      <c r="C37" s="5" t="s">
        <v>123</v>
      </c>
      <c r="D37" s="5" t="s">
        <v>124</v>
      </c>
      <c r="E37" s="5" t="s">
        <v>124</v>
      </c>
      <c r="F37" s="5" t="s">
        <v>241</v>
      </c>
      <c r="G37" s="5" t="s">
        <v>126</v>
      </c>
      <c r="H37" s="5" t="s">
        <v>127</v>
      </c>
      <c r="I37" s="5" t="s">
        <v>128</v>
      </c>
      <c r="J37" s="6" t="s">
        <v>129</v>
      </c>
      <c r="K37" s="12">
        <v>212.94</v>
      </c>
      <c r="L37" s="12">
        <v>100.27</v>
      </c>
      <c r="M37" s="12">
        <v>49.37</v>
      </c>
      <c r="N37" s="12">
        <v>5.0999999999999996</v>
      </c>
      <c r="O37" s="12">
        <v>-0.45</v>
      </c>
      <c r="P37" s="12">
        <v>6.84</v>
      </c>
      <c r="Q37" s="12">
        <v>39.14</v>
      </c>
      <c r="R37" s="13">
        <f t="shared" si="0"/>
        <v>39.659999999999997</v>
      </c>
      <c r="S37" s="13">
        <f t="shared" si="1"/>
        <v>58.738800939362271</v>
      </c>
      <c r="T37" s="14">
        <v>1.22</v>
      </c>
      <c r="U37" s="15">
        <v>0.87</v>
      </c>
    </row>
    <row r="38" spans="1:21" ht="15.75" thickBot="1" x14ac:dyDescent="0.3">
      <c r="A38" s="3" t="s">
        <v>31</v>
      </c>
      <c r="B38" s="3" t="s">
        <v>31</v>
      </c>
      <c r="C38" s="3" t="s">
        <v>268</v>
      </c>
      <c r="D38" s="3" t="s">
        <v>30</v>
      </c>
      <c r="E38" s="3" t="s">
        <v>30</v>
      </c>
      <c r="F38" s="3" t="s">
        <v>28</v>
      </c>
      <c r="G38" s="3" t="s">
        <v>32</v>
      </c>
      <c r="H38" s="3" t="s">
        <v>84</v>
      </c>
      <c r="I38" s="3" t="s">
        <v>34</v>
      </c>
      <c r="J38" s="4" t="s">
        <v>269</v>
      </c>
      <c r="K38" s="12">
        <v>211.8</v>
      </c>
      <c r="L38" s="12">
        <v>105.47</v>
      </c>
      <c r="M38" s="12">
        <v>48.34</v>
      </c>
      <c r="N38" s="12">
        <v>5.88</v>
      </c>
      <c r="O38" s="12">
        <v>2</v>
      </c>
      <c r="P38" s="12">
        <v>6.28</v>
      </c>
      <c r="Q38" s="12">
        <v>39.159999999999997</v>
      </c>
      <c r="R38" s="13">
        <f t="shared" si="0"/>
        <v>39.659999999999997</v>
      </c>
      <c r="S38" s="13">
        <f t="shared" si="1"/>
        <v>58.738800939362271</v>
      </c>
      <c r="T38" s="14">
        <v>1.22</v>
      </c>
      <c r="U38" s="15">
        <v>0.87</v>
      </c>
    </row>
    <row r="39" spans="1:21" ht="15.75" thickBot="1" x14ac:dyDescent="0.3">
      <c r="A39" s="5" t="s">
        <v>270</v>
      </c>
      <c r="B39" s="5" t="s">
        <v>271</v>
      </c>
      <c r="C39" s="5" t="s">
        <v>239</v>
      </c>
      <c r="D39" s="5" t="s">
        <v>272</v>
      </c>
      <c r="E39" s="5" t="s">
        <v>272</v>
      </c>
      <c r="F39" s="5" t="s">
        <v>270</v>
      </c>
      <c r="G39" s="5" t="s">
        <v>273</v>
      </c>
      <c r="H39" s="5" t="s">
        <v>274</v>
      </c>
      <c r="I39" s="5" t="s">
        <v>275</v>
      </c>
      <c r="J39" s="6" t="s">
        <v>276</v>
      </c>
      <c r="K39" s="12">
        <v>213.71</v>
      </c>
      <c r="L39" s="12">
        <v>80.7</v>
      </c>
      <c r="M39" s="12">
        <v>53.68</v>
      </c>
      <c r="N39" s="12">
        <v>5.74</v>
      </c>
      <c r="O39" s="12">
        <v>1.56</v>
      </c>
      <c r="P39" s="12">
        <v>8.65</v>
      </c>
      <c r="Q39" s="12">
        <v>39.159999999999997</v>
      </c>
      <c r="R39" s="13">
        <f t="shared" si="0"/>
        <v>39.659999999999997</v>
      </c>
      <c r="S39" s="13">
        <f t="shared" si="1"/>
        <v>58.425911059072973</v>
      </c>
      <c r="T39" s="14">
        <v>1.25</v>
      </c>
      <c r="U39" s="15">
        <v>0.87</v>
      </c>
    </row>
    <row r="40" spans="1:21" ht="15.75" thickBot="1" x14ac:dyDescent="0.3">
      <c r="A40" s="3" t="s">
        <v>277</v>
      </c>
      <c r="B40" s="3" t="s">
        <v>278</v>
      </c>
      <c r="C40" s="3" t="s">
        <v>279</v>
      </c>
      <c r="D40" s="3" t="s">
        <v>280</v>
      </c>
      <c r="E40" s="3" t="s">
        <v>280</v>
      </c>
      <c r="F40" s="3" t="s">
        <v>278</v>
      </c>
      <c r="G40" s="3" t="s">
        <v>268</v>
      </c>
      <c r="H40" s="3" t="s">
        <v>281</v>
      </c>
      <c r="I40" s="3" t="s">
        <v>282</v>
      </c>
      <c r="J40" s="4" t="s">
        <v>283</v>
      </c>
      <c r="K40" s="12">
        <v>210.95</v>
      </c>
      <c r="L40" s="12">
        <v>104.23</v>
      </c>
      <c r="M40" s="12">
        <v>48.72</v>
      </c>
      <c r="N40" s="12">
        <v>4.93</v>
      </c>
      <c r="O40" s="12">
        <v>-0.99</v>
      </c>
      <c r="P40" s="12">
        <v>6.42</v>
      </c>
      <c r="Q40" s="12">
        <v>39.19</v>
      </c>
      <c r="R40" s="13">
        <f t="shared" si="0"/>
        <v>39.659999999999997</v>
      </c>
      <c r="S40" s="13">
        <f t="shared" si="1"/>
        <v>58.633657498329875</v>
      </c>
      <c r="T40" s="14">
        <v>1.23</v>
      </c>
      <c r="U40" s="15">
        <v>0.87</v>
      </c>
    </row>
    <row r="41" spans="1:21" ht="15.75" thickBot="1" x14ac:dyDescent="0.3">
      <c r="A41" s="5" t="s">
        <v>284</v>
      </c>
      <c r="B41" s="5" t="s">
        <v>284</v>
      </c>
      <c r="C41" s="5" t="s">
        <v>156</v>
      </c>
      <c r="D41" s="5" t="s">
        <v>157</v>
      </c>
      <c r="E41" s="5" t="s">
        <v>157</v>
      </c>
      <c r="F41" s="5" t="s">
        <v>284</v>
      </c>
      <c r="G41" s="5" t="s">
        <v>159</v>
      </c>
      <c r="H41" s="5" t="s">
        <v>160</v>
      </c>
      <c r="I41" s="5" t="s">
        <v>161</v>
      </c>
      <c r="J41" s="6" t="s">
        <v>162</v>
      </c>
      <c r="K41" s="12">
        <v>215.8</v>
      </c>
      <c r="L41" s="12">
        <v>81.91</v>
      </c>
      <c r="M41" s="12">
        <v>53.16</v>
      </c>
      <c r="N41" s="12">
        <v>5.93</v>
      </c>
      <c r="O41" s="12">
        <v>2.15</v>
      </c>
      <c r="P41" s="12">
        <v>7.32</v>
      </c>
      <c r="Q41" s="12">
        <v>39.090000000000003</v>
      </c>
      <c r="R41" s="13">
        <f t="shared" si="0"/>
        <v>39.659999999999997</v>
      </c>
      <c r="S41" s="13">
        <f t="shared" si="1"/>
        <v>58.633657498329875</v>
      </c>
      <c r="T41" s="14">
        <v>1.23</v>
      </c>
      <c r="U41" s="15">
        <v>0.87</v>
      </c>
    </row>
    <row r="42" spans="1:21" ht="15.75" thickBot="1" x14ac:dyDescent="0.3">
      <c r="A42" s="3" t="s">
        <v>227</v>
      </c>
      <c r="B42" s="3" t="s">
        <v>227</v>
      </c>
      <c r="C42" s="3" t="s">
        <v>285</v>
      </c>
      <c r="D42" s="3" t="s">
        <v>228</v>
      </c>
      <c r="E42" s="3" t="s">
        <v>286</v>
      </c>
      <c r="F42" s="3" t="s">
        <v>226</v>
      </c>
      <c r="G42" s="3" t="s">
        <v>229</v>
      </c>
      <c r="H42" s="3" t="s">
        <v>230</v>
      </c>
      <c r="I42" s="3" t="s">
        <v>231</v>
      </c>
      <c r="J42" s="4" t="s">
        <v>287</v>
      </c>
      <c r="K42" s="12">
        <v>210.66</v>
      </c>
      <c r="L42" s="12">
        <v>97.57</v>
      </c>
      <c r="M42" s="12">
        <v>50.26</v>
      </c>
      <c r="N42" s="12">
        <v>5.77</v>
      </c>
      <c r="O42" s="12">
        <v>1.65</v>
      </c>
      <c r="P42" s="12">
        <v>6.96</v>
      </c>
      <c r="Q42" s="12">
        <v>39.21</v>
      </c>
      <c r="R42" s="13">
        <f t="shared" si="0"/>
        <v>39.659999999999997</v>
      </c>
      <c r="S42" s="13">
        <f t="shared" si="1"/>
        <v>58.425911059072973</v>
      </c>
      <c r="T42" s="14">
        <v>1.25</v>
      </c>
      <c r="U42" s="15">
        <v>0.87</v>
      </c>
    </row>
    <row r="43" spans="1:21" ht="15.75" thickBot="1" x14ac:dyDescent="0.3">
      <c r="A43" s="5" t="s">
        <v>288</v>
      </c>
      <c r="B43" s="5" t="s">
        <v>289</v>
      </c>
      <c r="C43" s="5" t="s">
        <v>290</v>
      </c>
      <c r="D43" s="5" t="s">
        <v>291</v>
      </c>
      <c r="E43" s="5" t="s">
        <v>292</v>
      </c>
      <c r="F43" s="5" t="s">
        <v>288</v>
      </c>
      <c r="G43" s="5" t="s">
        <v>293</v>
      </c>
      <c r="H43" s="5" t="s">
        <v>294</v>
      </c>
      <c r="I43" s="5" t="s">
        <v>295</v>
      </c>
      <c r="J43" s="6" t="s">
        <v>296</v>
      </c>
      <c r="K43" s="12">
        <v>215.51</v>
      </c>
      <c r="L43" s="12">
        <v>73.72</v>
      </c>
      <c r="M43" s="12">
        <v>55.04</v>
      </c>
      <c r="N43" s="12">
        <v>6.96</v>
      </c>
      <c r="O43" s="12">
        <v>5.39</v>
      </c>
      <c r="P43" s="12">
        <v>8.42</v>
      </c>
      <c r="Q43" s="12">
        <v>39.119999999999997</v>
      </c>
      <c r="R43" s="13">
        <f t="shared" si="0"/>
        <v>39.659999999999997</v>
      </c>
      <c r="S43" s="13">
        <f t="shared" si="1"/>
        <v>58.529365430533737</v>
      </c>
      <c r="T43" s="14">
        <v>1.24</v>
      </c>
      <c r="U43" s="15">
        <v>0.87</v>
      </c>
    </row>
    <row r="44" spans="1:21" ht="15.75" thickBot="1" x14ac:dyDescent="0.3">
      <c r="A44" s="3" t="s">
        <v>122</v>
      </c>
      <c r="B44" s="3" t="s">
        <v>241</v>
      </c>
      <c r="C44" s="3" t="s">
        <v>123</v>
      </c>
      <c r="D44" s="3" t="s">
        <v>125</v>
      </c>
      <c r="E44" s="3" t="s">
        <v>124</v>
      </c>
      <c r="F44" s="3" t="s">
        <v>241</v>
      </c>
      <c r="G44" s="3" t="s">
        <v>126</v>
      </c>
      <c r="H44" s="3" t="s">
        <v>243</v>
      </c>
      <c r="I44" s="3" t="s">
        <v>244</v>
      </c>
      <c r="J44" s="4" t="s">
        <v>129</v>
      </c>
      <c r="K44" s="12">
        <v>212.39</v>
      </c>
      <c r="L44" s="12">
        <v>99.06</v>
      </c>
      <c r="M44" s="12">
        <v>49.71</v>
      </c>
      <c r="N44" s="12">
        <v>5.94</v>
      </c>
      <c r="O44" s="12">
        <v>2.1800000000000002</v>
      </c>
      <c r="P44" s="12">
        <v>6.29</v>
      </c>
      <c r="Q44" s="12">
        <v>39.159999999999997</v>
      </c>
      <c r="R44" s="13">
        <f t="shared" si="0"/>
        <v>39.659999999999997</v>
      </c>
      <c r="S44" s="13">
        <f t="shared" si="1"/>
        <v>58.633657498329875</v>
      </c>
      <c r="T44" s="14">
        <v>1.23</v>
      </c>
      <c r="U44" s="15">
        <v>0.87</v>
      </c>
    </row>
    <row r="45" spans="1:21" ht="15.75" thickBot="1" x14ac:dyDescent="0.3">
      <c r="A45" s="5" t="s">
        <v>297</v>
      </c>
      <c r="B45" s="5" t="s">
        <v>297</v>
      </c>
      <c r="C45" s="5" t="s">
        <v>112</v>
      </c>
      <c r="D45" s="5" t="s">
        <v>191</v>
      </c>
      <c r="E45" s="5" t="s">
        <v>298</v>
      </c>
      <c r="F45" s="5" t="s">
        <v>297</v>
      </c>
      <c r="G45" s="5" t="s">
        <v>192</v>
      </c>
      <c r="H45" s="5" t="s">
        <v>193</v>
      </c>
      <c r="I45" s="5" t="s">
        <v>194</v>
      </c>
      <c r="J45" s="6" t="s">
        <v>195</v>
      </c>
      <c r="K45" s="12">
        <v>214</v>
      </c>
      <c r="L45" s="12">
        <v>77.650000000000006</v>
      </c>
      <c r="M45" s="12">
        <v>54.33</v>
      </c>
      <c r="N45" s="12">
        <v>5.82</v>
      </c>
      <c r="O45" s="12">
        <v>1.81</v>
      </c>
      <c r="P45" s="12">
        <v>8.1999999999999993</v>
      </c>
      <c r="Q45" s="12">
        <v>39.15</v>
      </c>
      <c r="R45" s="13">
        <f t="shared" si="0"/>
        <v>39.659999999999997</v>
      </c>
      <c r="S45" s="13">
        <f t="shared" si="1"/>
        <v>58.425911059072973</v>
      </c>
      <c r="T45" s="14">
        <v>1.25</v>
      </c>
      <c r="U45" s="15">
        <v>0.87</v>
      </c>
    </row>
    <row r="46" spans="1:21" ht="15.75" thickBot="1" x14ac:dyDescent="0.3">
      <c r="A46" s="3" t="s">
        <v>271</v>
      </c>
      <c r="B46" s="3" t="s">
        <v>271</v>
      </c>
      <c r="C46" s="3" t="s">
        <v>239</v>
      </c>
      <c r="D46" s="3" t="s">
        <v>299</v>
      </c>
      <c r="E46" s="3" t="s">
        <v>272</v>
      </c>
      <c r="F46" s="3" t="s">
        <v>270</v>
      </c>
      <c r="G46" s="3" t="s">
        <v>273</v>
      </c>
      <c r="H46" s="3" t="s">
        <v>300</v>
      </c>
      <c r="I46" s="3" t="s">
        <v>301</v>
      </c>
      <c r="J46" s="4" t="s">
        <v>276</v>
      </c>
      <c r="K46" s="12">
        <v>213.1</v>
      </c>
      <c r="L46" s="12">
        <v>79.34</v>
      </c>
      <c r="M46" s="12">
        <v>54.06</v>
      </c>
      <c r="N46" s="12">
        <v>6.68</v>
      </c>
      <c r="O46" s="12">
        <v>4.51</v>
      </c>
      <c r="P46" s="12">
        <v>7.47</v>
      </c>
      <c r="Q46" s="12">
        <v>39.18</v>
      </c>
      <c r="R46" s="13">
        <f t="shared" si="0"/>
        <v>39.659999999999997</v>
      </c>
      <c r="S46" s="13">
        <f t="shared" si="1"/>
        <v>58.323281033991577</v>
      </c>
      <c r="T46" s="14">
        <v>1.26</v>
      </c>
      <c r="U46" s="15">
        <v>0.87</v>
      </c>
    </row>
    <row r="47" spans="1:21" ht="15.75" thickBot="1" x14ac:dyDescent="0.3">
      <c r="A47" s="5" t="s">
        <v>209</v>
      </c>
      <c r="B47" s="5" t="s">
        <v>302</v>
      </c>
      <c r="C47" s="5" t="s">
        <v>303</v>
      </c>
      <c r="D47" s="5" t="s">
        <v>304</v>
      </c>
      <c r="E47" s="5" t="s">
        <v>305</v>
      </c>
      <c r="F47" s="5" t="s">
        <v>209</v>
      </c>
      <c r="G47" s="5" t="s">
        <v>60</v>
      </c>
      <c r="H47" s="5" t="s">
        <v>306</v>
      </c>
      <c r="I47" s="5" t="s">
        <v>307</v>
      </c>
      <c r="J47" s="6" t="s">
        <v>308</v>
      </c>
      <c r="K47" s="12">
        <v>212.36</v>
      </c>
      <c r="L47" s="12">
        <v>96.43</v>
      </c>
      <c r="M47" s="12">
        <v>50.3</v>
      </c>
      <c r="N47" s="12">
        <v>5.31</v>
      </c>
      <c r="O47" s="12">
        <v>0.21</v>
      </c>
      <c r="P47" s="12">
        <v>6.37</v>
      </c>
      <c r="Q47" s="12">
        <v>39.17</v>
      </c>
      <c r="R47" s="13">
        <f t="shared" si="0"/>
        <v>39.659999999999997</v>
      </c>
      <c r="S47" s="13">
        <f t="shared" si="1"/>
        <v>58.633657498329875</v>
      </c>
      <c r="T47" s="14">
        <v>1.23</v>
      </c>
      <c r="U47" s="15">
        <v>0.87</v>
      </c>
    </row>
    <row r="48" spans="1:21" ht="15.75" thickBot="1" x14ac:dyDescent="0.3">
      <c r="A48" s="3" t="s">
        <v>138</v>
      </c>
      <c r="B48" s="3" t="s">
        <v>139</v>
      </c>
      <c r="C48" s="3" t="s">
        <v>309</v>
      </c>
      <c r="D48" s="3" t="s">
        <v>142</v>
      </c>
      <c r="E48" s="3" t="s">
        <v>141</v>
      </c>
      <c r="F48" s="3" t="s">
        <v>139</v>
      </c>
      <c r="G48" s="3" t="s">
        <v>143</v>
      </c>
      <c r="H48" s="3" t="s">
        <v>310</v>
      </c>
      <c r="I48" s="3" t="s">
        <v>311</v>
      </c>
      <c r="J48" s="4" t="s">
        <v>312</v>
      </c>
      <c r="K48" s="12">
        <v>213.18</v>
      </c>
      <c r="L48" s="12">
        <v>73.78</v>
      </c>
      <c r="M48" s="12">
        <v>55.3</v>
      </c>
      <c r="N48" s="12">
        <v>6.11</v>
      </c>
      <c r="O48" s="12">
        <v>2.72</v>
      </c>
      <c r="P48" s="12">
        <v>9.2200000000000006</v>
      </c>
      <c r="Q48" s="12">
        <v>39.200000000000003</v>
      </c>
      <c r="R48" s="13">
        <f t="shared" si="0"/>
        <v>39.659999999999997</v>
      </c>
      <c r="S48" s="13">
        <f t="shared" si="1"/>
        <v>58.22146232193996</v>
      </c>
      <c r="T48" s="14">
        <v>1.27</v>
      </c>
      <c r="U48" s="15">
        <v>0.87</v>
      </c>
    </row>
    <row r="49" spans="1:21" ht="15.75" thickBot="1" x14ac:dyDescent="0.3">
      <c r="A49" s="5" t="s">
        <v>313</v>
      </c>
      <c r="B49" s="5" t="s">
        <v>313</v>
      </c>
      <c r="C49" s="5" t="s">
        <v>220</v>
      </c>
      <c r="D49" s="5" t="s">
        <v>221</v>
      </c>
      <c r="E49" s="5" t="s">
        <v>314</v>
      </c>
      <c r="F49" s="5" t="s">
        <v>313</v>
      </c>
      <c r="G49" s="5" t="s">
        <v>222</v>
      </c>
      <c r="H49" s="5" t="s">
        <v>223</v>
      </c>
      <c r="I49" s="5" t="s">
        <v>224</v>
      </c>
      <c r="J49" s="6" t="s">
        <v>225</v>
      </c>
      <c r="K49" s="12">
        <v>215.14</v>
      </c>
      <c r="L49" s="12">
        <v>90.89</v>
      </c>
      <c r="M49" s="12">
        <v>51.22</v>
      </c>
      <c r="N49" s="12">
        <v>5.9</v>
      </c>
      <c r="O49" s="12">
        <v>2.06</v>
      </c>
      <c r="P49" s="12">
        <v>6.87</v>
      </c>
      <c r="Q49" s="12">
        <v>39.090000000000003</v>
      </c>
      <c r="R49" s="13">
        <f t="shared" si="0"/>
        <v>39.659999999999997</v>
      </c>
      <c r="S49" s="13">
        <f t="shared" si="1"/>
        <v>58.844809768240587</v>
      </c>
      <c r="T49" s="14">
        <v>1.21</v>
      </c>
      <c r="U49" s="15">
        <v>0.87</v>
      </c>
    </row>
    <row r="50" spans="1:21" ht="15.75" thickBot="1" x14ac:dyDescent="0.3">
      <c r="A50" s="3" t="s">
        <v>315</v>
      </c>
      <c r="B50" s="3" t="s">
        <v>315</v>
      </c>
      <c r="C50" s="3" t="s">
        <v>316</v>
      </c>
      <c r="D50" s="3" t="s">
        <v>317</v>
      </c>
      <c r="E50" s="3" t="s">
        <v>318</v>
      </c>
      <c r="F50" s="3" t="s">
        <v>107</v>
      </c>
      <c r="G50" s="3" t="s">
        <v>319</v>
      </c>
      <c r="H50" s="3" t="s">
        <v>320</v>
      </c>
      <c r="I50" s="3" t="s">
        <v>321</v>
      </c>
      <c r="J50" s="4" t="s">
        <v>322</v>
      </c>
      <c r="K50" s="12">
        <v>211.91</v>
      </c>
      <c r="L50" s="12">
        <v>86.7</v>
      </c>
      <c r="M50" s="12">
        <v>52.55</v>
      </c>
      <c r="N50" s="12">
        <v>5.52</v>
      </c>
      <c r="O50" s="12">
        <v>0.87</v>
      </c>
      <c r="P50" s="12">
        <v>8.89</v>
      </c>
      <c r="Q50" s="12">
        <v>39.200000000000003</v>
      </c>
      <c r="R50" s="13">
        <f t="shared" si="0"/>
        <v>39.659999999999997</v>
      </c>
      <c r="S50" s="13">
        <f t="shared" si="1"/>
        <v>58.323281033991577</v>
      </c>
      <c r="T50" s="14">
        <v>1.26</v>
      </c>
      <c r="U50" s="15">
        <v>0.87</v>
      </c>
    </row>
    <row r="51" spans="1:21" ht="15.75" thickBot="1" x14ac:dyDescent="0.3">
      <c r="A51" s="5" t="s">
        <v>323</v>
      </c>
      <c r="B51" s="5" t="s">
        <v>10</v>
      </c>
      <c r="C51" s="5" t="s">
        <v>11</v>
      </c>
      <c r="D51" s="5" t="s">
        <v>12</v>
      </c>
      <c r="E51" s="5" t="s">
        <v>306</v>
      </c>
      <c r="F51" s="5" t="s">
        <v>323</v>
      </c>
      <c r="G51" s="5" t="s">
        <v>13</v>
      </c>
      <c r="H51" s="5" t="s">
        <v>324</v>
      </c>
      <c r="I51" s="5" t="s">
        <v>325</v>
      </c>
      <c r="J51" s="6" t="s">
        <v>15</v>
      </c>
      <c r="K51" s="12">
        <v>214.07</v>
      </c>
      <c r="L51" s="12">
        <v>104.21</v>
      </c>
      <c r="M51" s="12">
        <v>48.35</v>
      </c>
      <c r="N51" s="12">
        <v>5.33</v>
      </c>
      <c r="O51" s="12">
        <v>0.27</v>
      </c>
      <c r="P51" s="12">
        <v>6.67</v>
      </c>
      <c r="Q51" s="12">
        <v>39.090000000000003</v>
      </c>
      <c r="R51" s="13">
        <f t="shared" si="0"/>
        <v>39.659999999999997</v>
      </c>
      <c r="S51" s="13">
        <f t="shared" si="1"/>
        <v>58.951698348493863</v>
      </c>
      <c r="T51" s="14">
        <v>1.2</v>
      </c>
      <c r="U51" s="15">
        <v>0.87</v>
      </c>
    </row>
    <row r="52" spans="1:21" ht="15.75" thickBot="1" x14ac:dyDescent="0.3">
      <c r="A52" s="3" t="s">
        <v>66</v>
      </c>
      <c r="B52" s="3" t="s">
        <v>326</v>
      </c>
      <c r="C52" s="3" t="s">
        <v>67</v>
      </c>
      <c r="D52" s="3" t="s">
        <v>69</v>
      </c>
      <c r="E52" s="3" t="s">
        <v>68</v>
      </c>
      <c r="F52" s="3" t="s">
        <v>326</v>
      </c>
      <c r="G52" s="3" t="s">
        <v>70</v>
      </c>
      <c r="H52" s="3" t="s">
        <v>327</v>
      </c>
      <c r="I52" s="3" t="s">
        <v>328</v>
      </c>
      <c r="J52" s="4" t="s">
        <v>73</v>
      </c>
      <c r="K52" s="12">
        <v>213.82</v>
      </c>
      <c r="L52" s="12">
        <v>88.03</v>
      </c>
      <c r="M52" s="12">
        <v>52.02</v>
      </c>
      <c r="N52" s="12">
        <v>5.7</v>
      </c>
      <c r="O52" s="12">
        <v>1.43</v>
      </c>
      <c r="P52" s="12">
        <v>7.51</v>
      </c>
      <c r="Q52" s="12">
        <v>39.130000000000003</v>
      </c>
      <c r="R52" s="13">
        <f t="shared" si="0"/>
        <v>39.659999999999997</v>
      </c>
      <c r="S52" s="13">
        <f t="shared" si="1"/>
        <v>58.633657498329875</v>
      </c>
      <c r="T52" s="14">
        <v>1.23</v>
      </c>
      <c r="U52" s="15">
        <v>0.87</v>
      </c>
    </row>
    <row r="53" spans="1:21" ht="15.75" thickBot="1" x14ac:dyDescent="0.3">
      <c r="A53" s="5" t="s">
        <v>329</v>
      </c>
      <c r="B53" s="5" t="s">
        <v>329</v>
      </c>
      <c r="C53" s="5" t="s">
        <v>261</v>
      </c>
      <c r="D53" s="5" t="s">
        <v>330</v>
      </c>
      <c r="E53" s="5" t="s">
        <v>331</v>
      </c>
      <c r="F53" s="5" t="s">
        <v>329</v>
      </c>
      <c r="G53" s="5" t="s">
        <v>174</v>
      </c>
      <c r="H53" s="5" t="s">
        <v>332</v>
      </c>
      <c r="I53" s="5" t="s">
        <v>333</v>
      </c>
      <c r="J53" s="6" t="s">
        <v>334</v>
      </c>
      <c r="K53" s="12">
        <v>212.96</v>
      </c>
      <c r="L53" s="12">
        <v>103.26</v>
      </c>
      <c r="M53" s="12">
        <v>48.7</v>
      </c>
      <c r="N53" s="12">
        <v>4.53</v>
      </c>
      <c r="O53" s="12">
        <v>-2.25</v>
      </c>
      <c r="P53" s="12">
        <v>6.75</v>
      </c>
      <c r="Q53" s="12">
        <v>39.130000000000003</v>
      </c>
      <c r="R53" s="13">
        <f t="shared" si="0"/>
        <v>39.659999999999997</v>
      </c>
      <c r="S53" s="13">
        <f t="shared" si="1"/>
        <v>58.738800939362271</v>
      </c>
      <c r="T53" s="14">
        <v>1.22</v>
      </c>
      <c r="U53" s="15" t="s">
        <v>618</v>
      </c>
    </row>
    <row r="54" spans="1:21" ht="15.75" thickBot="1" x14ac:dyDescent="0.3">
      <c r="A54" s="3" t="s">
        <v>150</v>
      </c>
      <c r="B54" s="3" t="s">
        <v>150</v>
      </c>
      <c r="C54" s="3" t="s">
        <v>114</v>
      </c>
      <c r="D54" s="3" t="s">
        <v>148</v>
      </c>
      <c r="E54" s="3" t="s">
        <v>149</v>
      </c>
      <c r="F54" s="3" t="s">
        <v>146</v>
      </c>
      <c r="G54" s="3" t="s">
        <v>151</v>
      </c>
      <c r="H54" s="3" t="s">
        <v>335</v>
      </c>
      <c r="I54" s="3" t="s">
        <v>153</v>
      </c>
      <c r="J54" s="4" t="s">
        <v>336</v>
      </c>
      <c r="K54" s="12">
        <v>212.01</v>
      </c>
      <c r="L54" s="12">
        <v>108.17</v>
      </c>
      <c r="M54" s="12">
        <v>47.71</v>
      </c>
      <c r="N54" s="12">
        <v>5.14</v>
      </c>
      <c r="O54" s="12">
        <v>-0.33</v>
      </c>
      <c r="P54" s="12">
        <v>6.26</v>
      </c>
      <c r="Q54" s="12">
        <v>39.15</v>
      </c>
      <c r="R54" s="13">
        <f t="shared" si="0"/>
        <v>39.659999999999997</v>
      </c>
      <c r="S54" s="13">
        <f t="shared" si="1"/>
        <v>58.738800939362271</v>
      </c>
      <c r="T54" s="14">
        <v>1.22</v>
      </c>
      <c r="U54" s="15">
        <v>0.87</v>
      </c>
    </row>
    <row r="55" spans="1:21" ht="15.75" thickBot="1" x14ac:dyDescent="0.3">
      <c r="A55" s="5" t="s">
        <v>337</v>
      </c>
      <c r="B55" s="5" t="s">
        <v>338</v>
      </c>
      <c r="C55" s="5" t="s">
        <v>339</v>
      </c>
      <c r="D55" s="5" t="s">
        <v>340</v>
      </c>
      <c r="E55" s="5" t="s">
        <v>341</v>
      </c>
      <c r="F55" s="5" t="s">
        <v>337</v>
      </c>
      <c r="G55" s="5" t="s">
        <v>342</v>
      </c>
      <c r="H55" s="5" t="s">
        <v>343</v>
      </c>
      <c r="I55" s="5" t="s">
        <v>344</v>
      </c>
      <c r="J55" s="6" t="s">
        <v>345</v>
      </c>
      <c r="K55" s="12">
        <v>213.64</v>
      </c>
      <c r="L55" s="12">
        <v>86.4</v>
      </c>
      <c r="M55" s="12">
        <v>52.41</v>
      </c>
      <c r="N55" s="12">
        <v>5.03</v>
      </c>
      <c r="O55" s="12">
        <v>-0.67</v>
      </c>
      <c r="P55" s="12">
        <v>8.16</v>
      </c>
      <c r="Q55" s="12">
        <v>39.14</v>
      </c>
      <c r="R55" s="13">
        <f t="shared" si="0"/>
        <v>39.659999999999997</v>
      </c>
      <c r="S55" s="13">
        <f t="shared" si="1"/>
        <v>58.529365430533737</v>
      </c>
      <c r="T55" s="14">
        <v>1.24</v>
      </c>
      <c r="U55" s="15">
        <v>0.87</v>
      </c>
    </row>
    <row r="56" spans="1:21" ht="15.75" thickBot="1" x14ac:dyDescent="0.3">
      <c r="A56" s="3" t="s">
        <v>346</v>
      </c>
      <c r="B56" s="3" t="s">
        <v>120</v>
      </c>
      <c r="C56" s="3" t="s">
        <v>266</v>
      </c>
      <c r="D56" s="3" t="s">
        <v>347</v>
      </c>
      <c r="E56" s="3" t="s">
        <v>348</v>
      </c>
      <c r="F56" s="3" t="s">
        <v>120</v>
      </c>
      <c r="G56" s="3" t="s">
        <v>53</v>
      </c>
      <c r="H56" s="3" t="s">
        <v>349</v>
      </c>
      <c r="I56" s="3" t="s">
        <v>350</v>
      </c>
      <c r="J56" s="4" t="s">
        <v>351</v>
      </c>
      <c r="K56" s="12">
        <v>212.08</v>
      </c>
      <c r="L56" s="12">
        <v>100.89</v>
      </c>
      <c r="M56" s="12">
        <v>49.34</v>
      </c>
      <c r="N56" s="12">
        <v>4.74</v>
      </c>
      <c r="O56" s="12">
        <v>-1.59</v>
      </c>
      <c r="P56" s="12">
        <v>7.17</v>
      </c>
      <c r="Q56" s="12">
        <v>39.159999999999997</v>
      </c>
      <c r="R56" s="13">
        <f t="shared" si="0"/>
        <v>39.659999999999997</v>
      </c>
      <c r="S56" s="13">
        <f t="shared" si="1"/>
        <v>58.633657498329875</v>
      </c>
      <c r="T56" s="14">
        <v>1.23</v>
      </c>
      <c r="U56" s="15">
        <v>0.87</v>
      </c>
    </row>
    <row r="57" spans="1:21" ht="15.75" thickBot="1" x14ac:dyDescent="0.3">
      <c r="A57" s="5" t="s">
        <v>52</v>
      </c>
      <c r="B57" s="5" t="s">
        <v>52</v>
      </c>
      <c r="C57" s="5" t="s">
        <v>53</v>
      </c>
      <c r="D57" s="5" t="s">
        <v>54</v>
      </c>
      <c r="E57" s="5" t="s">
        <v>352</v>
      </c>
      <c r="F57" s="5" t="s">
        <v>52</v>
      </c>
      <c r="G57" s="5" t="s">
        <v>55</v>
      </c>
      <c r="H57" s="5" t="s">
        <v>353</v>
      </c>
      <c r="I57" s="5" t="s">
        <v>354</v>
      </c>
      <c r="J57" s="6" t="s">
        <v>58</v>
      </c>
      <c r="K57" s="12">
        <v>216.93</v>
      </c>
      <c r="L57" s="12">
        <v>78.959999999999994</v>
      </c>
      <c r="M57" s="12">
        <v>53.69</v>
      </c>
      <c r="N57" s="12">
        <v>5.65</v>
      </c>
      <c r="O57" s="12">
        <v>1.27</v>
      </c>
      <c r="P57" s="12">
        <v>8.75</v>
      </c>
      <c r="Q57" s="12">
        <v>39.06</v>
      </c>
      <c r="R57" s="13">
        <f t="shared" si="0"/>
        <v>39.659999999999997</v>
      </c>
      <c r="S57" s="13">
        <f t="shared" si="1"/>
        <v>58.738800939362271</v>
      </c>
      <c r="T57" s="14">
        <v>1.22</v>
      </c>
      <c r="U57" s="15">
        <v>0.87</v>
      </c>
    </row>
    <row r="58" spans="1:21" ht="15.75" thickBot="1" x14ac:dyDescent="0.3">
      <c r="A58" s="3" t="s">
        <v>355</v>
      </c>
      <c r="B58" s="3" t="s">
        <v>355</v>
      </c>
      <c r="C58" s="3" t="s">
        <v>356</v>
      </c>
      <c r="D58" s="3" t="s">
        <v>357</v>
      </c>
      <c r="E58" s="3" t="s">
        <v>357</v>
      </c>
      <c r="F58" s="3" t="s">
        <v>358</v>
      </c>
      <c r="G58" s="3" t="s">
        <v>359</v>
      </c>
      <c r="H58" s="3" t="s">
        <v>360</v>
      </c>
      <c r="I58" s="3" t="s">
        <v>361</v>
      </c>
      <c r="J58" s="4" t="s">
        <v>362</v>
      </c>
      <c r="K58" s="12">
        <v>210.94</v>
      </c>
      <c r="L58" s="12">
        <v>100.76</v>
      </c>
      <c r="M58" s="12">
        <v>49.5</v>
      </c>
      <c r="N58" s="12">
        <v>5.15</v>
      </c>
      <c r="O58" s="12">
        <v>-0.3</v>
      </c>
      <c r="P58" s="12">
        <v>6.85</v>
      </c>
      <c r="Q58" s="12">
        <v>39.200000000000003</v>
      </c>
      <c r="R58" s="13">
        <f t="shared" si="0"/>
        <v>39.659999999999997</v>
      </c>
      <c r="S58" s="13">
        <f t="shared" si="1"/>
        <v>58.529365430533737</v>
      </c>
      <c r="T58" s="14">
        <v>1.24</v>
      </c>
      <c r="U58" s="15">
        <v>0.87</v>
      </c>
    </row>
    <row r="59" spans="1:21" ht="15.75" thickBot="1" x14ac:dyDescent="0.3">
      <c r="A59" s="5" t="s">
        <v>181</v>
      </c>
      <c r="B59" s="5" t="s">
        <v>185</v>
      </c>
      <c r="C59" s="5" t="s">
        <v>363</v>
      </c>
      <c r="D59" s="5" t="s">
        <v>184</v>
      </c>
      <c r="E59" s="5" t="s">
        <v>184</v>
      </c>
      <c r="F59" s="5" t="s">
        <v>181</v>
      </c>
      <c r="G59" s="5" t="s">
        <v>186</v>
      </c>
      <c r="H59" s="5" t="s">
        <v>187</v>
      </c>
      <c r="I59" s="5" t="s">
        <v>364</v>
      </c>
      <c r="J59" s="6" t="s">
        <v>365</v>
      </c>
      <c r="K59" s="12">
        <v>215.23</v>
      </c>
      <c r="L59" s="12">
        <v>80.510000000000005</v>
      </c>
      <c r="M59" s="12">
        <v>53.54</v>
      </c>
      <c r="N59" s="12">
        <v>6.06</v>
      </c>
      <c r="O59" s="12">
        <v>2.56</v>
      </c>
      <c r="P59" s="12">
        <v>7.97</v>
      </c>
      <c r="Q59" s="12">
        <v>39.11</v>
      </c>
      <c r="R59" s="13">
        <f t="shared" si="0"/>
        <v>39.659999999999997</v>
      </c>
      <c r="S59" s="13">
        <f t="shared" si="1"/>
        <v>58.633657498329875</v>
      </c>
      <c r="T59" s="14">
        <v>1.23</v>
      </c>
      <c r="U59" s="15">
        <v>0.87</v>
      </c>
    </row>
    <row r="60" spans="1:21" ht="15.75" thickBot="1" x14ac:dyDescent="0.3">
      <c r="A60" s="3" t="s">
        <v>366</v>
      </c>
      <c r="B60" s="3" t="s">
        <v>26</v>
      </c>
      <c r="C60" s="3" t="s">
        <v>367</v>
      </c>
      <c r="D60" s="3" t="s">
        <v>368</v>
      </c>
      <c r="E60" s="3" t="s">
        <v>368</v>
      </c>
      <c r="F60" s="3" t="s">
        <v>26</v>
      </c>
      <c r="G60" s="3" t="s">
        <v>361</v>
      </c>
      <c r="H60" s="3" t="s">
        <v>369</v>
      </c>
      <c r="I60" s="3" t="s">
        <v>370</v>
      </c>
      <c r="J60" s="4" t="s">
        <v>371</v>
      </c>
      <c r="K60" s="12">
        <v>213.64</v>
      </c>
      <c r="L60" s="12">
        <v>95.86</v>
      </c>
      <c r="M60" s="12">
        <v>50.29</v>
      </c>
      <c r="N60" s="12">
        <v>5.7</v>
      </c>
      <c r="O60" s="12">
        <v>1.43</v>
      </c>
      <c r="P60" s="12">
        <v>7.02</v>
      </c>
      <c r="Q60" s="12">
        <v>39.14</v>
      </c>
      <c r="R60" s="13">
        <f t="shared" si="0"/>
        <v>39.659999999999997</v>
      </c>
      <c r="S60" s="13">
        <f t="shared" si="1"/>
        <v>58.738800939362271</v>
      </c>
      <c r="T60" s="14">
        <v>1.22</v>
      </c>
      <c r="U60" s="15">
        <v>0.87</v>
      </c>
    </row>
    <row r="61" spans="1:21" ht="15.75" thickBot="1" x14ac:dyDescent="0.3">
      <c r="A61" s="5" t="s">
        <v>372</v>
      </c>
      <c r="B61" s="5" t="s">
        <v>372</v>
      </c>
      <c r="C61" s="5" t="s">
        <v>373</v>
      </c>
      <c r="D61" s="5" t="s">
        <v>374</v>
      </c>
      <c r="E61" s="5" t="s">
        <v>374</v>
      </c>
      <c r="F61" s="5" t="s">
        <v>372</v>
      </c>
      <c r="G61" s="5" t="s">
        <v>375</v>
      </c>
      <c r="H61" s="5" t="s">
        <v>376</v>
      </c>
      <c r="I61" s="5" t="s">
        <v>377</v>
      </c>
      <c r="J61" s="6" t="s">
        <v>378</v>
      </c>
      <c r="K61" s="12">
        <v>215.07</v>
      </c>
      <c r="L61" s="12">
        <v>75.31</v>
      </c>
      <c r="M61" s="12">
        <v>54.73</v>
      </c>
      <c r="N61" s="12">
        <v>5.59</v>
      </c>
      <c r="O61" s="12">
        <v>1.0900000000000001</v>
      </c>
      <c r="P61" s="12">
        <v>9.84</v>
      </c>
      <c r="Q61" s="12">
        <v>39.130000000000003</v>
      </c>
      <c r="R61" s="13">
        <f t="shared" si="0"/>
        <v>39.659999999999997</v>
      </c>
      <c r="S61" s="13">
        <f t="shared" si="1"/>
        <v>58.425911059072973</v>
      </c>
      <c r="T61" s="14">
        <v>1.25</v>
      </c>
      <c r="U61" s="15">
        <v>0.87</v>
      </c>
    </row>
    <row r="62" spans="1:21" ht="15.75" thickBot="1" x14ac:dyDescent="0.3">
      <c r="A62" s="3" t="s">
        <v>75</v>
      </c>
      <c r="B62" s="3" t="s">
        <v>75</v>
      </c>
      <c r="C62" s="3" t="s">
        <v>379</v>
      </c>
      <c r="D62" s="3" t="s">
        <v>77</v>
      </c>
      <c r="E62" s="3" t="s">
        <v>77</v>
      </c>
      <c r="F62" s="3" t="s">
        <v>74</v>
      </c>
      <c r="G62" s="3" t="s">
        <v>79</v>
      </c>
      <c r="H62" s="3" t="s">
        <v>80</v>
      </c>
      <c r="I62" s="3" t="s">
        <v>81</v>
      </c>
      <c r="J62" s="4" t="s">
        <v>84</v>
      </c>
      <c r="K62" s="12">
        <v>214.36</v>
      </c>
      <c r="L62" s="12">
        <v>76.63</v>
      </c>
      <c r="M62" s="12">
        <v>54.52</v>
      </c>
      <c r="N62" s="12">
        <v>6.38</v>
      </c>
      <c r="O62" s="12">
        <v>3.57</v>
      </c>
      <c r="P62" s="12">
        <v>8.94</v>
      </c>
      <c r="Q62" s="12">
        <v>39.15</v>
      </c>
      <c r="R62" s="13">
        <f t="shared" si="0"/>
        <v>39.659999999999997</v>
      </c>
      <c r="S62" s="13">
        <f t="shared" si="1"/>
        <v>58.425911059072973</v>
      </c>
      <c r="T62" s="14">
        <v>1.25</v>
      </c>
      <c r="U62" s="15">
        <v>0.87</v>
      </c>
    </row>
    <row r="63" spans="1:21" ht="15.75" thickBot="1" x14ac:dyDescent="0.3">
      <c r="A63" s="5" t="s">
        <v>380</v>
      </c>
      <c r="B63" s="5" t="s">
        <v>381</v>
      </c>
      <c r="C63" s="5" t="s">
        <v>297</v>
      </c>
      <c r="D63" s="5" t="s">
        <v>382</v>
      </c>
      <c r="E63" s="5" t="s">
        <v>382</v>
      </c>
      <c r="F63" s="5" t="s">
        <v>380</v>
      </c>
      <c r="G63" s="5" t="s">
        <v>383</v>
      </c>
      <c r="H63" s="5" t="s">
        <v>384</v>
      </c>
      <c r="I63" s="5" t="s">
        <v>385</v>
      </c>
      <c r="J63" s="6" t="s">
        <v>386</v>
      </c>
      <c r="K63" s="12">
        <v>213.4</v>
      </c>
      <c r="L63" s="12">
        <v>93.63</v>
      </c>
      <c r="M63" s="12">
        <v>50.81</v>
      </c>
      <c r="N63" s="12">
        <v>5.12</v>
      </c>
      <c r="O63" s="12">
        <v>-0.39</v>
      </c>
      <c r="P63" s="12">
        <v>7.52</v>
      </c>
      <c r="Q63" s="12">
        <v>39.14</v>
      </c>
      <c r="R63" s="13">
        <f t="shared" si="0"/>
        <v>39.659999999999997</v>
      </c>
      <c r="S63" s="13">
        <f t="shared" si="1"/>
        <v>58.633657498329875</v>
      </c>
      <c r="T63" s="14">
        <v>1.23</v>
      </c>
      <c r="U63" s="15">
        <v>0.87</v>
      </c>
    </row>
    <row r="64" spans="1:21" ht="15.75" thickBot="1" x14ac:dyDescent="0.3">
      <c r="A64" s="3" t="s">
        <v>89</v>
      </c>
      <c r="B64" s="3" t="s">
        <v>29</v>
      </c>
      <c r="C64" s="3" t="s">
        <v>387</v>
      </c>
      <c r="D64" s="3" t="s">
        <v>87</v>
      </c>
      <c r="E64" s="3" t="s">
        <v>87</v>
      </c>
      <c r="F64" s="3" t="s">
        <v>29</v>
      </c>
      <c r="G64" s="3" t="s">
        <v>90</v>
      </c>
      <c r="H64" s="3" t="s">
        <v>91</v>
      </c>
      <c r="I64" s="3" t="s">
        <v>92</v>
      </c>
      <c r="J64" s="4" t="s">
        <v>388</v>
      </c>
      <c r="K64" s="12">
        <v>213.2</v>
      </c>
      <c r="L64" s="12">
        <v>79.83</v>
      </c>
      <c r="M64" s="12">
        <v>53.94</v>
      </c>
      <c r="N64" s="12">
        <v>5.41</v>
      </c>
      <c r="O64" s="12">
        <v>0.52</v>
      </c>
      <c r="P64" s="12">
        <v>8.6199999999999992</v>
      </c>
      <c r="Q64" s="12">
        <v>39.19</v>
      </c>
      <c r="R64" s="13">
        <f t="shared" si="0"/>
        <v>39.659999999999997</v>
      </c>
      <c r="S64" s="13">
        <f t="shared" si="1"/>
        <v>58.323281033991577</v>
      </c>
      <c r="T64" s="14">
        <v>1.26</v>
      </c>
      <c r="U64" s="15">
        <v>0.87</v>
      </c>
    </row>
    <row r="65" spans="1:21" ht="15.75" thickBot="1" x14ac:dyDescent="0.3">
      <c r="A65" s="5" t="s">
        <v>67</v>
      </c>
      <c r="B65" s="5" t="s">
        <v>67</v>
      </c>
      <c r="C65" s="5" t="s">
        <v>389</v>
      </c>
      <c r="D65" s="5" t="s">
        <v>390</v>
      </c>
      <c r="E65" s="5" t="s">
        <v>390</v>
      </c>
      <c r="F65" s="5" t="s">
        <v>67</v>
      </c>
      <c r="G65" s="5" t="s">
        <v>391</v>
      </c>
      <c r="H65" s="5" t="s">
        <v>392</v>
      </c>
      <c r="I65" s="5" t="s">
        <v>393</v>
      </c>
      <c r="J65" s="6" t="s">
        <v>394</v>
      </c>
      <c r="K65" s="12">
        <v>214.98</v>
      </c>
      <c r="L65" s="12">
        <v>94.86</v>
      </c>
      <c r="M65" s="12">
        <v>50.34</v>
      </c>
      <c r="N65" s="12">
        <v>5.25</v>
      </c>
      <c r="O65" s="12">
        <v>0.02</v>
      </c>
      <c r="P65" s="12">
        <v>6.78</v>
      </c>
      <c r="Q65" s="12">
        <v>39.090000000000003</v>
      </c>
      <c r="R65" s="13">
        <f t="shared" si="0"/>
        <v>39.659999999999997</v>
      </c>
      <c r="S65" s="13">
        <f t="shared" si="1"/>
        <v>58.844809768240587</v>
      </c>
      <c r="T65" s="14">
        <v>1.21</v>
      </c>
      <c r="U65" s="15">
        <v>0.87</v>
      </c>
    </row>
    <row r="66" spans="1:21" ht="15.75" thickBot="1" x14ac:dyDescent="0.3">
      <c r="A66" s="3" t="s">
        <v>75</v>
      </c>
      <c r="B66" s="3" t="s">
        <v>75</v>
      </c>
      <c r="C66" s="3" t="s">
        <v>76</v>
      </c>
      <c r="D66" s="3" t="s">
        <v>78</v>
      </c>
      <c r="E66" s="3" t="s">
        <v>78</v>
      </c>
      <c r="F66" s="3" t="s">
        <v>75</v>
      </c>
      <c r="G66" s="3" t="s">
        <v>395</v>
      </c>
      <c r="H66" s="3" t="s">
        <v>80</v>
      </c>
      <c r="I66" s="3" t="s">
        <v>396</v>
      </c>
      <c r="J66" s="4" t="s">
        <v>82</v>
      </c>
      <c r="K66" s="12">
        <v>209.89</v>
      </c>
      <c r="L66" s="12">
        <v>106.5</v>
      </c>
      <c r="M66" s="12">
        <v>48.34</v>
      </c>
      <c r="N66" s="12">
        <v>9.23</v>
      </c>
      <c r="O66" s="12">
        <v>12.52</v>
      </c>
      <c r="P66" s="12">
        <v>6.03</v>
      </c>
      <c r="Q66" s="12">
        <v>39.229999999999997</v>
      </c>
      <c r="R66" s="13">
        <f t="shared" si="0"/>
        <v>39.659999999999997</v>
      </c>
      <c r="S66" s="13">
        <f t="shared" si="1"/>
        <v>58.529365430533737</v>
      </c>
      <c r="T66" s="14">
        <v>1.24</v>
      </c>
      <c r="U66" s="15">
        <v>0.87</v>
      </c>
    </row>
    <row r="67" spans="1:21" ht="15.75" thickBot="1" x14ac:dyDescent="0.3">
      <c r="A67" s="5" t="s">
        <v>397</v>
      </c>
      <c r="B67" s="5" t="s">
        <v>398</v>
      </c>
      <c r="C67" s="5" t="s">
        <v>399</v>
      </c>
      <c r="D67" s="5" t="s">
        <v>400</v>
      </c>
      <c r="E67" s="5" t="s">
        <v>400</v>
      </c>
      <c r="F67" s="5" t="s">
        <v>398</v>
      </c>
      <c r="G67" s="5" t="s">
        <v>401</v>
      </c>
      <c r="H67" s="5" t="s">
        <v>402</v>
      </c>
      <c r="I67" s="5" t="s">
        <v>403</v>
      </c>
      <c r="J67" s="6" t="s">
        <v>404</v>
      </c>
      <c r="K67" s="12">
        <v>211.7</v>
      </c>
      <c r="L67" s="12">
        <v>83.32</v>
      </c>
      <c r="M67" s="12">
        <v>53.33</v>
      </c>
      <c r="N67" s="12">
        <v>9.02</v>
      </c>
      <c r="O67" s="12">
        <v>11.86</v>
      </c>
      <c r="P67" s="12">
        <v>7.82</v>
      </c>
      <c r="Q67" s="12">
        <v>39.22</v>
      </c>
      <c r="R67" s="13">
        <f t="shared" ref="R67:R130" si="2">-0.167*U67*1000+184.95</f>
        <v>39.659999999999997</v>
      </c>
      <c r="S67" s="13">
        <f t="shared" ref="S67:S130" si="3">-12.88*LN(T67)+61.3</f>
        <v>58.22146232193996</v>
      </c>
      <c r="T67" s="14">
        <v>1.27</v>
      </c>
      <c r="U67" s="15">
        <v>0.87</v>
      </c>
    </row>
    <row r="68" spans="1:21" ht="15.75" thickBot="1" x14ac:dyDescent="0.3">
      <c r="A68" s="3" t="s">
        <v>338</v>
      </c>
      <c r="B68" s="3" t="s">
        <v>337</v>
      </c>
      <c r="C68" s="3" t="s">
        <v>370</v>
      </c>
      <c r="D68" s="3" t="s">
        <v>340</v>
      </c>
      <c r="E68" s="3" t="s">
        <v>340</v>
      </c>
      <c r="F68" s="3" t="s">
        <v>338</v>
      </c>
      <c r="G68" s="3" t="s">
        <v>405</v>
      </c>
      <c r="H68" s="3" t="s">
        <v>343</v>
      </c>
      <c r="I68" s="3" t="s">
        <v>406</v>
      </c>
      <c r="J68" s="4" t="s">
        <v>407</v>
      </c>
      <c r="K68" s="12">
        <v>210.15</v>
      </c>
      <c r="L68" s="12">
        <v>98.9</v>
      </c>
      <c r="M68" s="12">
        <v>50.02</v>
      </c>
      <c r="N68" s="12">
        <v>8.4600000000000009</v>
      </c>
      <c r="O68" s="12">
        <v>10.1</v>
      </c>
      <c r="P68" s="12">
        <v>6.9</v>
      </c>
      <c r="Q68" s="12">
        <v>39.229999999999997</v>
      </c>
      <c r="R68" s="13">
        <f t="shared" si="2"/>
        <v>39.659999999999997</v>
      </c>
      <c r="S68" s="13">
        <f t="shared" si="3"/>
        <v>58.425911059072973</v>
      </c>
      <c r="T68" s="14">
        <v>1.25</v>
      </c>
      <c r="U68" s="15">
        <v>0.87</v>
      </c>
    </row>
    <row r="69" spans="1:21" ht="15.75" thickBot="1" x14ac:dyDescent="0.3">
      <c r="A69" s="5" t="s">
        <v>408</v>
      </c>
      <c r="B69" s="5" t="s">
        <v>408</v>
      </c>
      <c r="C69" s="5" t="s">
        <v>409</v>
      </c>
      <c r="D69" s="5" t="s">
        <v>187</v>
      </c>
      <c r="E69" s="5" t="s">
        <v>187</v>
      </c>
      <c r="F69" s="5" t="s">
        <v>410</v>
      </c>
      <c r="G69" s="5" t="s">
        <v>411</v>
      </c>
      <c r="H69" s="5" t="s">
        <v>412</v>
      </c>
      <c r="I69" s="5" t="s">
        <v>235</v>
      </c>
      <c r="J69" s="6" t="s">
        <v>18</v>
      </c>
      <c r="K69" s="12">
        <v>214.96</v>
      </c>
      <c r="L69" s="12">
        <v>74.930000000000007</v>
      </c>
      <c r="M69" s="12">
        <v>54.83</v>
      </c>
      <c r="N69" s="12">
        <v>10.220000000000001</v>
      </c>
      <c r="O69" s="12">
        <v>15.63</v>
      </c>
      <c r="P69" s="12">
        <v>8.32</v>
      </c>
      <c r="Q69" s="12">
        <v>39.14</v>
      </c>
      <c r="R69" s="13">
        <f t="shared" si="2"/>
        <v>39.659999999999997</v>
      </c>
      <c r="S69" s="13">
        <f t="shared" si="3"/>
        <v>58.425911059072973</v>
      </c>
      <c r="T69" s="14">
        <v>1.25</v>
      </c>
      <c r="U69" s="15">
        <v>0.87</v>
      </c>
    </row>
    <row r="70" spans="1:21" ht="15.75" thickBot="1" x14ac:dyDescent="0.3">
      <c r="A70" s="3" t="s">
        <v>51</v>
      </c>
      <c r="B70" s="3" t="s">
        <v>51</v>
      </c>
      <c r="C70" s="3" t="s">
        <v>53</v>
      </c>
      <c r="D70" s="3" t="s">
        <v>54</v>
      </c>
      <c r="E70" s="3" t="s">
        <v>54</v>
      </c>
      <c r="F70" s="3" t="s">
        <v>51</v>
      </c>
      <c r="G70" s="3" t="s">
        <v>413</v>
      </c>
      <c r="H70" s="3" t="s">
        <v>56</v>
      </c>
      <c r="I70" s="3" t="s">
        <v>354</v>
      </c>
      <c r="J70" s="4" t="s">
        <v>58</v>
      </c>
      <c r="K70" s="12">
        <v>210.59</v>
      </c>
      <c r="L70" s="12">
        <v>79.430000000000007</v>
      </c>
      <c r="M70" s="12">
        <v>54.35</v>
      </c>
      <c r="N70" s="12">
        <v>9.51</v>
      </c>
      <c r="O70" s="12">
        <v>13.4</v>
      </c>
      <c r="P70" s="12">
        <v>8.75</v>
      </c>
      <c r="Q70" s="12">
        <v>39.26</v>
      </c>
      <c r="R70" s="13">
        <f t="shared" si="2"/>
        <v>39.659999999999997</v>
      </c>
      <c r="S70" s="13">
        <f t="shared" si="3"/>
        <v>58.020208227348277</v>
      </c>
      <c r="T70" s="14">
        <v>1.29</v>
      </c>
      <c r="U70" s="15">
        <v>0.87</v>
      </c>
    </row>
    <row r="71" spans="1:21" ht="15.75" thickBot="1" x14ac:dyDescent="0.3">
      <c r="A71" s="5" t="s">
        <v>59</v>
      </c>
      <c r="B71" s="5" t="s">
        <v>62</v>
      </c>
      <c r="C71" s="5" t="s">
        <v>60</v>
      </c>
      <c r="D71" s="5" t="s">
        <v>61</v>
      </c>
      <c r="E71" s="5" t="s">
        <v>61</v>
      </c>
      <c r="F71" s="5" t="s">
        <v>62</v>
      </c>
      <c r="G71" s="5" t="s">
        <v>414</v>
      </c>
      <c r="H71" s="5" t="s">
        <v>64</v>
      </c>
      <c r="I71" s="5" t="s">
        <v>358</v>
      </c>
      <c r="J71" s="6" t="s">
        <v>65</v>
      </c>
      <c r="K71" s="12">
        <v>212.86</v>
      </c>
      <c r="L71" s="12">
        <v>97.64</v>
      </c>
      <c r="M71" s="12">
        <v>49.97</v>
      </c>
      <c r="N71" s="12">
        <v>9.16</v>
      </c>
      <c r="O71" s="12">
        <v>12.2</v>
      </c>
      <c r="P71" s="12">
        <v>6.58</v>
      </c>
      <c r="Q71" s="12">
        <v>39.15</v>
      </c>
      <c r="R71" s="13">
        <f t="shared" si="2"/>
        <v>39.659999999999997</v>
      </c>
      <c r="S71" s="13">
        <f t="shared" si="3"/>
        <v>58.633657498329875</v>
      </c>
      <c r="T71" s="14">
        <v>1.23</v>
      </c>
      <c r="U71" s="15">
        <v>0.87</v>
      </c>
    </row>
    <row r="72" spans="1:21" ht="15.75" thickBot="1" x14ac:dyDescent="0.3">
      <c r="A72" s="3" t="s">
        <v>118</v>
      </c>
      <c r="B72" s="3" t="s">
        <v>114</v>
      </c>
      <c r="C72" s="3" t="s">
        <v>115</v>
      </c>
      <c r="D72" s="3" t="s">
        <v>117</v>
      </c>
      <c r="E72" s="3" t="s">
        <v>117</v>
      </c>
      <c r="F72" s="3" t="s">
        <v>118</v>
      </c>
      <c r="G72" s="3" t="s">
        <v>415</v>
      </c>
      <c r="H72" s="3" t="s">
        <v>119</v>
      </c>
      <c r="I72" s="3" t="s">
        <v>416</v>
      </c>
      <c r="J72" s="4" t="s">
        <v>121</v>
      </c>
      <c r="K72" s="12">
        <v>212.56</v>
      </c>
      <c r="L72" s="12">
        <v>80.61</v>
      </c>
      <c r="M72" s="12">
        <v>53.84</v>
      </c>
      <c r="N72" s="12">
        <v>9.81</v>
      </c>
      <c r="O72" s="12">
        <v>14.34</v>
      </c>
      <c r="P72" s="12">
        <v>7.4</v>
      </c>
      <c r="Q72" s="12">
        <v>39.200000000000003</v>
      </c>
      <c r="R72" s="13">
        <f t="shared" si="2"/>
        <v>39.659999999999997</v>
      </c>
      <c r="S72" s="13">
        <f t="shared" si="3"/>
        <v>58.323281033991577</v>
      </c>
      <c r="T72" s="14">
        <v>1.26</v>
      </c>
      <c r="U72" s="15">
        <v>0.87</v>
      </c>
    </row>
    <row r="73" spans="1:21" ht="15.75" thickBot="1" x14ac:dyDescent="0.3">
      <c r="A73" s="5" t="s">
        <v>417</v>
      </c>
      <c r="B73" s="5" t="s">
        <v>417</v>
      </c>
      <c r="C73" s="5" t="s">
        <v>139</v>
      </c>
      <c r="D73" s="5" t="s">
        <v>418</v>
      </c>
      <c r="E73" s="5" t="s">
        <v>418</v>
      </c>
      <c r="F73" s="5" t="s">
        <v>419</v>
      </c>
      <c r="G73" s="5" t="s">
        <v>420</v>
      </c>
      <c r="H73" s="5" t="s">
        <v>421</v>
      </c>
      <c r="I73" s="5" t="s">
        <v>422</v>
      </c>
      <c r="J73" s="6" t="s">
        <v>423</v>
      </c>
      <c r="K73" s="12">
        <v>211.89</v>
      </c>
      <c r="L73" s="12">
        <v>97.65</v>
      </c>
      <c r="M73" s="12">
        <v>50.09</v>
      </c>
      <c r="N73" s="12">
        <v>7.77</v>
      </c>
      <c r="O73" s="12">
        <v>7.93</v>
      </c>
      <c r="P73" s="12">
        <v>6.67</v>
      </c>
      <c r="Q73" s="12">
        <v>39.18</v>
      </c>
      <c r="R73" s="13">
        <f t="shared" si="2"/>
        <v>39.659999999999997</v>
      </c>
      <c r="S73" s="13">
        <f t="shared" si="3"/>
        <v>58.529365430533737</v>
      </c>
      <c r="T73" s="14">
        <v>1.24</v>
      </c>
      <c r="U73" s="15">
        <v>0.87</v>
      </c>
    </row>
    <row r="74" spans="1:21" ht="15.75" thickBot="1" x14ac:dyDescent="0.3">
      <c r="A74" s="3" t="s">
        <v>31</v>
      </c>
      <c r="B74" s="3" t="s">
        <v>31</v>
      </c>
      <c r="C74" s="3" t="s">
        <v>29</v>
      </c>
      <c r="D74" s="3" t="s">
        <v>83</v>
      </c>
      <c r="E74" s="3" t="s">
        <v>30</v>
      </c>
      <c r="F74" s="3" t="s">
        <v>31</v>
      </c>
      <c r="G74" s="3" t="s">
        <v>424</v>
      </c>
      <c r="H74" s="3" t="s">
        <v>84</v>
      </c>
      <c r="I74" s="3" t="s">
        <v>34</v>
      </c>
      <c r="J74" s="4" t="s">
        <v>35</v>
      </c>
      <c r="K74" s="12">
        <v>212.21</v>
      </c>
      <c r="L74" s="12">
        <v>72.52</v>
      </c>
      <c r="M74" s="12">
        <v>55.7</v>
      </c>
      <c r="N74" s="12">
        <v>10.86</v>
      </c>
      <c r="O74" s="12">
        <v>17.64</v>
      </c>
      <c r="P74" s="12">
        <v>8.51</v>
      </c>
      <c r="Q74" s="12">
        <v>39.22</v>
      </c>
      <c r="R74" s="13">
        <f t="shared" si="2"/>
        <v>39.659999999999997</v>
      </c>
      <c r="S74" s="13">
        <f t="shared" si="3"/>
        <v>58.120442196241946</v>
      </c>
      <c r="T74" s="14">
        <v>1.28</v>
      </c>
      <c r="U74" s="15">
        <v>0.87</v>
      </c>
    </row>
    <row r="75" spans="1:21" ht="15.75" thickBot="1" x14ac:dyDescent="0.3">
      <c r="A75" s="5" t="s">
        <v>29</v>
      </c>
      <c r="B75" s="5" t="s">
        <v>89</v>
      </c>
      <c r="C75" s="5" t="s">
        <v>86</v>
      </c>
      <c r="D75" s="5" t="s">
        <v>87</v>
      </c>
      <c r="E75" s="5" t="s">
        <v>88</v>
      </c>
      <c r="F75" s="5" t="s">
        <v>89</v>
      </c>
      <c r="G75" s="5" t="s">
        <v>425</v>
      </c>
      <c r="H75" s="5" t="s">
        <v>91</v>
      </c>
      <c r="I75" s="5" t="s">
        <v>426</v>
      </c>
      <c r="J75" s="6" t="s">
        <v>93</v>
      </c>
      <c r="K75" s="12">
        <v>211.67</v>
      </c>
      <c r="L75" s="12">
        <v>91.38</v>
      </c>
      <c r="M75" s="12">
        <v>51.52</v>
      </c>
      <c r="N75" s="12">
        <v>8.58</v>
      </c>
      <c r="O75" s="12">
        <v>10.48</v>
      </c>
      <c r="P75" s="12">
        <v>7.26</v>
      </c>
      <c r="Q75" s="12">
        <v>39.200000000000003</v>
      </c>
      <c r="R75" s="13">
        <f t="shared" si="2"/>
        <v>39.659999999999997</v>
      </c>
      <c r="S75" s="13">
        <f t="shared" si="3"/>
        <v>58.425911059072973</v>
      </c>
      <c r="T75" s="14">
        <v>1.25</v>
      </c>
      <c r="U75" s="15">
        <v>0.87</v>
      </c>
    </row>
    <row r="76" spans="1:21" ht="15.75" thickBot="1" x14ac:dyDescent="0.3">
      <c r="A76" s="3" t="s">
        <v>277</v>
      </c>
      <c r="B76" s="3" t="s">
        <v>278</v>
      </c>
      <c r="C76" s="3" t="s">
        <v>377</v>
      </c>
      <c r="D76" s="3" t="s">
        <v>427</v>
      </c>
      <c r="E76" s="3" t="s">
        <v>280</v>
      </c>
      <c r="F76" s="3" t="s">
        <v>277</v>
      </c>
      <c r="G76" s="3" t="s">
        <v>428</v>
      </c>
      <c r="H76" s="3" t="s">
        <v>281</v>
      </c>
      <c r="I76" s="3" t="s">
        <v>282</v>
      </c>
      <c r="J76" s="4" t="s">
        <v>95</v>
      </c>
      <c r="K76" s="12">
        <v>211.3</v>
      </c>
      <c r="L76" s="12">
        <v>76.61</v>
      </c>
      <c r="M76" s="12">
        <v>54.89</v>
      </c>
      <c r="N76" s="12">
        <v>9.1</v>
      </c>
      <c r="O76" s="12">
        <v>12.11</v>
      </c>
      <c r="P76" s="12">
        <v>8.2799999999999994</v>
      </c>
      <c r="Q76" s="12">
        <v>39.25</v>
      </c>
      <c r="R76" s="13">
        <f t="shared" si="2"/>
        <v>39.659999999999997</v>
      </c>
      <c r="S76" s="13">
        <f t="shared" si="3"/>
        <v>58.120442196241946</v>
      </c>
      <c r="T76" s="14">
        <v>1.28</v>
      </c>
      <c r="U76" s="15">
        <v>0.87</v>
      </c>
    </row>
    <row r="77" spans="1:21" ht="15.75" thickBot="1" x14ac:dyDescent="0.3">
      <c r="A77" s="5" t="s">
        <v>22</v>
      </c>
      <c r="B77" s="5" t="s">
        <v>22</v>
      </c>
      <c r="C77" s="5" t="s">
        <v>426</v>
      </c>
      <c r="D77" s="5" t="s">
        <v>429</v>
      </c>
      <c r="E77" s="5" t="s">
        <v>430</v>
      </c>
      <c r="F77" s="5" t="s">
        <v>431</v>
      </c>
      <c r="G77" s="5" t="s">
        <v>432</v>
      </c>
      <c r="H77" s="5" t="s">
        <v>257</v>
      </c>
      <c r="I77" s="5" t="s">
        <v>47</v>
      </c>
      <c r="J77" s="6" t="s">
        <v>433</v>
      </c>
      <c r="K77" s="12">
        <v>213.27</v>
      </c>
      <c r="L77" s="12">
        <v>92.63</v>
      </c>
      <c r="M77" s="12">
        <v>51.05</v>
      </c>
      <c r="N77" s="12">
        <v>8.8000000000000007</v>
      </c>
      <c r="O77" s="12">
        <v>11.17</v>
      </c>
      <c r="P77" s="12">
        <v>6.55</v>
      </c>
      <c r="Q77" s="12">
        <v>39.15</v>
      </c>
      <c r="R77" s="13">
        <f t="shared" si="2"/>
        <v>39.659999999999997</v>
      </c>
      <c r="S77" s="13">
        <f t="shared" si="3"/>
        <v>58.633657498329875</v>
      </c>
      <c r="T77" s="14">
        <v>1.23</v>
      </c>
      <c r="U77" s="15">
        <v>0.87</v>
      </c>
    </row>
    <row r="78" spans="1:21" ht="15.75" thickBot="1" x14ac:dyDescent="0.3">
      <c r="A78" s="3" t="s">
        <v>434</v>
      </c>
      <c r="B78" s="3" t="s">
        <v>434</v>
      </c>
      <c r="C78" s="3" t="s">
        <v>389</v>
      </c>
      <c r="D78" s="3" t="s">
        <v>390</v>
      </c>
      <c r="E78" s="3" t="s">
        <v>435</v>
      </c>
      <c r="F78" s="3" t="s">
        <v>434</v>
      </c>
      <c r="G78" s="3" t="s">
        <v>436</v>
      </c>
      <c r="H78" s="3" t="s">
        <v>437</v>
      </c>
      <c r="I78" s="3" t="s">
        <v>393</v>
      </c>
      <c r="J78" s="4" t="s">
        <v>394</v>
      </c>
      <c r="K78" s="12">
        <v>209.91</v>
      </c>
      <c r="L78" s="12">
        <v>95.24</v>
      </c>
      <c r="M78" s="12">
        <v>50.87</v>
      </c>
      <c r="N78" s="12">
        <v>8.32</v>
      </c>
      <c r="O78" s="12">
        <v>9.66</v>
      </c>
      <c r="P78" s="12">
        <v>6.78</v>
      </c>
      <c r="Q78" s="12">
        <v>39.25</v>
      </c>
      <c r="R78" s="13">
        <f t="shared" si="2"/>
        <v>39.659999999999997</v>
      </c>
      <c r="S78" s="13">
        <f t="shared" si="3"/>
        <v>58.323281033991577</v>
      </c>
      <c r="T78" s="14">
        <v>1.26</v>
      </c>
      <c r="U78" s="15">
        <v>0.87</v>
      </c>
    </row>
    <row r="79" spans="1:21" ht="15.75" thickBot="1" x14ac:dyDescent="0.3">
      <c r="A79" s="5" t="s">
        <v>323</v>
      </c>
      <c r="B79" s="5" t="s">
        <v>10</v>
      </c>
      <c r="C79" s="5" t="s">
        <v>438</v>
      </c>
      <c r="D79" s="5" t="s">
        <v>306</v>
      </c>
      <c r="E79" s="5" t="s">
        <v>12</v>
      </c>
      <c r="F79" s="5" t="s">
        <v>10</v>
      </c>
      <c r="G79" s="5" t="s">
        <v>439</v>
      </c>
      <c r="H79" s="5" t="s">
        <v>324</v>
      </c>
      <c r="I79" s="5" t="s">
        <v>14</v>
      </c>
      <c r="J79" s="6" t="s">
        <v>440</v>
      </c>
      <c r="K79" s="12">
        <v>214.01</v>
      </c>
      <c r="L79" s="12">
        <v>73.569999999999993</v>
      </c>
      <c r="M79" s="12">
        <v>55.25</v>
      </c>
      <c r="N79" s="12">
        <v>9.83</v>
      </c>
      <c r="O79" s="12">
        <v>14.41</v>
      </c>
      <c r="P79" s="12">
        <v>7.86</v>
      </c>
      <c r="Q79" s="12">
        <v>39.159999999999997</v>
      </c>
      <c r="R79" s="13">
        <f t="shared" si="2"/>
        <v>39.659999999999997</v>
      </c>
      <c r="S79" s="13">
        <f t="shared" si="3"/>
        <v>58.323281033991577</v>
      </c>
      <c r="T79" s="14">
        <v>1.26</v>
      </c>
      <c r="U79" s="15">
        <v>0.87</v>
      </c>
    </row>
    <row r="80" spans="1:21" ht="15.75" thickBot="1" x14ac:dyDescent="0.3">
      <c r="A80" s="3" t="s">
        <v>190</v>
      </c>
      <c r="B80" s="3" t="s">
        <v>297</v>
      </c>
      <c r="C80" s="3" t="s">
        <v>441</v>
      </c>
      <c r="D80" s="3" t="s">
        <v>191</v>
      </c>
      <c r="E80" s="3" t="s">
        <v>298</v>
      </c>
      <c r="F80" s="3" t="s">
        <v>190</v>
      </c>
      <c r="G80" s="3" t="s">
        <v>442</v>
      </c>
      <c r="H80" s="3" t="s">
        <v>443</v>
      </c>
      <c r="I80" s="3" t="s">
        <v>147</v>
      </c>
      <c r="J80" s="4" t="s">
        <v>444</v>
      </c>
      <c r="K80" s="12">
        <v>211.64</v>
      </c>
      <c r="L80" s="12">
        <v>89</v>
      </c>
      <c r="M80" s="12">
        <v>52.06</v>
      </c>
      <c r="N80" s="12">
        <v>9.23</v>
      </c>
      <c r="O80" s="12">
        <v>12.52</v>
      </c>
      <c r="P80" s="12">
        <v>6.99</v>
      </c>
      <c r="Q80" s="12">
        <v>39.04</v>
      </c>
      <c r="R80" s="13">
        <f t="shared" si="2"/>
        <v>39.659999999999997</v>
      </c>
      <c r="S80" s="13">
        <f t="shared" si="3"/>
        <v>58.529365430533737</v>
      </c>
      <c r="T80" s="14">
        <v>1.24</v>
      </c>
      <c r="U80" s="15">
        <v>0.87</v>
      </c>
    </row>
    <row r="81" spans="1:21" ht="15.75" thickBot="1" x14ac:dyDescent="0.3">
      <c r="A81" s="5" t="s">
        <v>26</v>
      </c>
      <c r="B81" s="5" t="s">
        <v>26</v>
      </c>
      <c r="C81" s="5" t="s">
        <v>445</v>
      </c>
      <c r="D81" s="5" t="s">
        <v>368</v>
      </c>
      <c r="E81" s="5" t="s">
        <v>32</v>
      </c>
      <c r="F81" s="5" t="s">
        <v>366</v>
      </c>
      <c r="G81" s="5" t="s">
        <v>446</v>
      </c>
      <c r="H81" s="5" t="s">
        <v>447</v>
      </c>
      <c r="I81" s="5" t="s">
        <v>370</v>
      </c>
      <c r="J81" s="6" t="s">
        <v>144</v>
      </c>
      <c r="K81" s="12">
        <v>213.98</v>
      </c>
      <c r="L81" s="12">
        <v>68.83</v>
      </c>
      <c r="M81" s="12">
        <v>56.32</v>
      </c>
      <c r="N81" s="12">
        <v>9.0399999999999991</v>
      </c>
      <c r="O81" s="12">
        <v>11.92</v>
      </c>
      <c r="P81" s="12">
        <v>9.6999999999999993</v>
      </c>
      <c r="Q81" s="12">
        <v>39.18</v>
      </c>
      <c r="R81" s="13">
        <f t="shared" si="2"/>
        <v>39.659999999999997</v>
      </c>
      <c r="S81" s="13">
        <f t="shared" si="3"/>
        <v>58.22146232193996</v>
      </c>
      <c r="T81" s="14">
        <v>1.27</v>
      </c>
      <c r="U81" s="15">
        <v>0.87</v>
      </c>
    </row>
    <row r="82" spans="1:21" ht="15.75" thickBot="1" x14ac:dyDescent="0.3">
      <c r="A82" s="3" t="s">
        <v>138</v>
      </c>
      <c r="B82" s="3" t="s">
        <v>138</v>
      </c>
      <c r="C82" s="3" t="s">
        <v>140</v>
      </c>
      <c r="D82" s="3" t="s">
        <v>141</v>
      </c>
      <c r="E82" s="3" t="s">
        <v>142</v>
      </c>
      <c r="F82" s="3" t="s">
        <v>138</v>
      </c>
      <c r="G82" s="3" t="s">
        <v>448</v>
      </c>
      <c r="H82" s="3" t="s">
        <v>144</v>
      </c>
      <c r="I82" s="3" t="s">
        <v>311</v>
      </c>
      <c r="J82" s="4" t="s">
        <v>145</v>
      </c>
      <c r="K82" s="12">
        <v>211.25</v>
      </c>
      <c r="L82" s="12">
        <v>102.73</v>
      </c>
      <c r="M82" s="12">
        <v>49.02</v>
      </c>
      <c r="N82" s="12">
        <v>8.83</v>
      </c>
      <c r="O82" s="12">
        <v>11.26</v>
      </c>
      <c r="P82" s="12">
        <v>6.73</v>
      </c>
      <c r="Q82" s="12">
        <v>39.200000000000003</v>
      </c>
      <c r="R82" s="13">
        <f t="shared" si="2"/>
        <v>39.659999999999997</v>
      </c>
      <c r="S82" s="13">
        <f t="shared" si="3"/>
        <v>58.529365430533737</v>
      </c>
      <c r="T82" s="14">
        <v>1.24</v>
      </c>
      <c r="U82" s="15">
        <v>0.87</v>
      </c>
    </row>
    <row r="83" spans="1:21" ht="15.75" thickBot="1" x14ac:dyDescent="0.3">
      <c r="A83" s="5" t="s">
        <v>146</v>
      </c>
      <c r="B83" s="5" t="s">
        <v>150</v>
      </c>
      <c r="C83" s="5" t="s">
        <v>147</v>
      </c>
      <c r="D83" s="5" t="s">
        <v>148</v>
      </c>
      <c r="E83" s="5" t="s">
        <v>149</v>
      </c>
      <c r="F83" s="5" t="s">
        <v>150</v>
      </c>
      <c r="G83" s="5" t="s">
        <v>449</v>
      </c>
      <c r="H83" s="5" t="s">
        <v>152</v>
      </c>
      <c r="I83" s="5" t="s">
        <v>450</v>
      </c>
      <c r="J83" s="6" t="s">
        <v>154</v>
      </c>
      <c r="K83" s="12">
        <v>212.87</v>
      </c>
      <c r="L83" s="12">
        <v>80.599999999999994</v>
      </c>
      <c r="M83" s="12">
        <v>53.81</v>
      </c>
      <c r="N83" s="12">
        <v>8.64</v>
      </c>
      <c r="O83" s="12">
        <v>10.67</v>
      </c>
      <c r="P83" s="12">
        <v>9.3699999999999992</v>
      </c>
      <c r="Q83" s="12">
        <v>39.18</v>
      </c>
      <c r="R83" s="13">
        <f t="shared" si="2"/>
        <v>39.659999999999997</v>
      </c>
      <c r="S83" s="13">
        <f t="shared" si="3"/>
        <v>58.323281033991577</v>
      </c>
      <c r="T83" s="14">
        <v>1.26</v>
      </c>
      <c r="U83" s="15">
        <v>0.87</v>
      </c>
    </row>
    <row r="84" spans="1:21" ht="15.75" thickBot="1" x14ac:dyDescent="0.3">
      <c r="A84" s="3" t="s">
        <v>214</v>
      </c>
      <c r="B84" s="3" t="s">
        <v>211</v>
      </c>
      <c r="C84" s="3" t="s">
        <v>212</v>
      </c>
      <c r="D84" s="3" t="s">
        <v>451</v>
      </c>
      <c r="E84" s="3" t="s">
        <v>213</v>
      </c>
      <c r="F84" s="3" t="s">
        <v>214</v>
      </c>
      <c r="G84" s="3" t="s">
        <v>452</v>
      </c>
      <c r="H84" s="3" t="s">
        <v>216</v>
      </c>
      <c r="I84" s="3" t="s">
        <v>229</v>
      </c>
      <c r="J84" s="4" t="s">
        <v>218</v>
      </c>
      <c r="K84" s="12">
        <v>210.49</v>
      </c>
      <c r="L84" s="12">
        <v>101.99</v>
      </c>
      <c r="M84" s="12">
        <v>49.28</v>
      </c>
      <c r="N84" s="12">
        <v>7.53</v>
      </c>
      <c r="O84" s="12">
        <v>7.18</v>
      </c>
      <c r="P84" s="12">
        <v>6.8</v>
      </c>
      <c r="Q84" s="12">
        <v>39.21</v>
      </c>
      <c r="R84" s="13">
        <f t="shared" si="2"/>
        <v>39.659999999999997</v>
      </c>
      <c r="S84" s="13">
        <f t="shared" si="3"/>
        <v>58.425911059072973</v>
      </c>
      <c r="T84" s="14">
        <v>1.25</v>
      </c>
      <c r="U84" s="15">
        <v>0.87</v>
      </c>
    </row>
    <row r="85" spans="1:21" ht="15.75" thickBot="1" x14ac:dyDescent="0.3">
      <c r="A85" s="5" t="s">
        <v>43</v>
      </c>
      <c r="B85" s="5" t="s">
        <v>43</v>
      </c>
      <c r="C85" s="5" t="s">
        <v>453</v>
      </c>
      <c r="D85" s="5" t="s">
        <v>46</v>
      </c>
      <c r="E85" s="5" t="s">
        <v>94</v>
      </c>
      <c r="F85" s="5" t="s">
        <v>44</v>
      </c>
      <c r="G85" s="5" t="s">
        <v>19</v>
      </c>
      <c r="H85" s="5" t="s">
        <v>95</v>
      </c>
      <c r="I85" s="5" t="s">
        <v>96</v>
      </c>
      <c r="J85" s="6" t="s">
        <v>454</v>
      </c>
      <c r="K85" s="12">
        <v>214.76</v>
      </c>
      <c r="L85" s="12">
        <v>81.69</v>
      </c>
      <c r="M85" s="12">
        <v>53.33</v>
      </c>
      <c r="N85" s="12">
        <v>8.89</v>
      </c>
      <c r="O85" s="12">
        <v>11.45</v>
      </c>
      <c r="P85" s="12">
        <v>7.9</v>
      </c>
      <c r="Q85" s="12">
        <v>39.130000000000003</v>
      </c>
      <c r="R85" s="13">
        <f t="shared" si="2"/>
        <v>39.659999999999997</v>
      </c>
      <c r="S85" s="13">
        <f t="shared" si="3"/>
        <v>58.529365430533737</v>
      </c>
      <c r="T85" s="14">
        <v>1.24</v>
      </c>
      <c r="U85" s="15">
        <v>0.87</v>
      </c>
    </row>
    <row r="86" spans="1:21" ht="15.75" thickBot="1" x14ac:dyDescent="0.3">
      <c r="A86" s="3" t="s">
        <v>227</v>
      </c>
      <c r="B86" s="3" t="s">
        <v>227</v>
      </c>
      <c r="C86" s="3" t="s">
        <v>41</v>
      </c>
      <c r="D86" s="3" t="s">
        <v>286</v>
      </c>
      <c r="E86" s="3" t="s">
        <v>228</v>
      </c>
      <c r="F86" s="3" t="s">
        <v>227</v>
      </c>
      <c r="G86" s="3" t="s">
        <v>455</v>
      </c>
      <c r="H86" s="3" t="s">
        <v>230</v>
      </c>
      <c r="I86" s="3" t="s">
        <v>456</v>
      </c>
      <c r="J86" s="4" t="s">
        <v>232</v>
      </c>
      <c r="K86" s="12">
        <v>210.92</v>
      </c>
      <c r="L86" s="12">
        <v>85.24</v>
      </c>
      <c r="M86" s="12">
        <v>53</v>
      </c>
      <c r="N86" s="12">
        <v>8.35</v>
      </c>
      <c r="O86" s="12">
        <v>9.76</v>
      </c>
      <c r="P86" s="12">
        <v>8.24</v>
      </c>
      <c r="Q86" s="12">
        <v>39.24</v>
      </c>
      <c r="R86" s="13">
        <f t="shared" si="2"/>
        <v>39.659999999999997</v>
      </c>
      <c r="S86" s="13">
        <f t="shared" si="3"/>
        <v>58.22146232193996</v>
      </c>
      <c r="T86" s="14">
        <v>1.27</v>
      </c>
      <c r="U86" s="15">
        <v>0.87</v>
      </c>
    </row>
    <row r="87" spans="1:21" ht="15.75" thickBot="1" x14ac:dyDescent="0.3">
      <c r="A87" s="5" t="s">
        <v>372</v>
      </c>
      <c r="B87" s="5" t="s">
        <v>457</v>
      </c>
      <c r="C87" s="5" t="s">
        <v>458</v>
      </c>
      <c r="D87" s="5" t="s">
        <v>459</v>
      </c>
      <c r="E87" s="5" t="s">
        <v>374</v>
      </c>
      <c r="F87" s="5" t="s">
        <v>457</v>
      </c>
      <c r="G87" s="5" t="s">
        <v>460</v>
      </c>
      <c r="H87" s="5" t="s">
        <v>461</v>
      </c>
      <c r="I87" s="5" t="s">
        <v>462</v>
      </c>
      <c r="J87" s="6" t="s">
        <v>463</v>
      </c>
      <c r="K87" s="12" t="s">
        <v>619</v>
      </c>
      <c r="L87" s="12" t="s">
        <v>620</v>
      </c>
      <c r="M87" s="12" t="s">
        <v>621</v>
      </c>
      <c r="N87" s="12" t="s">
        <v>622</v>
      </c>
      <c r="O87" s="12" t="s">
        <v>623</v>
      </c>
      <c r="P87" s="12" t="s">
        <v>624</v>
      </c>
      <c r="Q87" s="12" t="s">
        <v>625</v>
      </c>
      <c r="R87" s="13">
        <f t="shared" si="2"/>
        <v>39.659999999999997</v>
      </c>
      <c r="S87" s="13">
        <f t="shared" si="3"/>
        <v>58.738800939362271</v>
      </c>
      <c r="T87" s="14" t="s">
        <v>626</v>
      </c>
      <c r="U87" s="15" t="s">
        <v>618</v>
      </c>
    </row>
    <row r="88" spans="1:21" ht="15.75" thickBot="1" x14ac:dyDescent="0.3">
      <c r="A88" s="3" t="s">
        <v>255</v>
      </c>
      <c r="B88" s="3" t="s">
        <v>254</v>
      </c>
      <c r="C88" s="3" t="s">
        <v>464</v>
      </c>
      <c r="D88" s="3" t="s">
        <v>257</v>
      </c>
      <c r="E88" s="3" t="s">
        <v>465</v>
      </c>
      <c r="F88" s="3" t="s">
        <v>255</v>
      </c>
      <c r="G88" s="3" t="s">
        <v>466</v>
      </c>
      <c r="H88" s="3" t="s">
        <v>259</v>
      </c>
      <c r="I88" s="3" t="s">
        <v>467</v>
      </c>
      <c r="J88" s="4" t="s">
        <v>468</v>
      </c>
      <c r="K88" s="12" t="s">
        <v>627</v>
      </c>
      <c r="L88" s="12" t="s">
        <v>628</v>
      </c>
      <c r="M88" s="12" t="s">
        <v>629</v>
      </c>
      <c r="N88" s="12" t="s">
        <v>630</v>
      </c>
      <c r="O88" s="12" t="s">
        <v>631</v>
      </c>
      <c r="P88" s="12" t="s">
        <v>79</v>
      </c>
      <c r="Q88" s="12" t="s">
        <v>632</v>
      </c>
      <c r="R88" s="13">
        <f t="shared" si="2"/>
        <v>39.659999999999997</v>
      </c>
      <c r="S88" s="13">
        <f t="shared" si="3"/>
        <v>58.323281033991577</v>
      </c>
      <c r="T88" s="14" t="s">
        <v>633</v>
      </c>
      <c r="U88" s="15" t="s">
        <v>618</v>
      </c>
    </row>
    <row r="89" spans="1:21" ht="15.75" thickBot="1" x14ac:dyDescent="0.3">
      <c r="A89" s="5" t="s">
        <v>469</v>
      </c>
      <c r="B89" s="5" t="s">
        <v>469</v>
      </c>
      <c r="C89" s="5" t="s">
        <v>470</v>
      </c>
      <c r="D89" s="5" t="s">
        <v>471</v>
      </c>
      <c r="E89" s="5" t="s">
        <v>472</v>
      </c>
      <c r="F89" s="5" t="s">
        <v>473</v>
      </c>
      <c r="G89" s="5" t="s">
        <v>474</v>
      </c>
      <c r="H89" s="5" t="s">
        <v>475</v>
      </c>
      <c r="I89" s="5" t="s">
        <v>476</v>
      </c>
      <c r="J89" s="6" t="s">
        <v>477</v>
      </c>
      <c r="K89" s="12" t="s">
        <v>634</v>
      </c>
      <c r="L89" s="12" t="s">
        <v>635</v>
      </c>
      <c r="M89" s="12" t="s">
        <v>636</v>
      </c>
      <c r="N89" s="12" t="s">
        <v>637</v>
      </c>
      <c r="O89" s="12" t="s">
        <v>182</v>
      </c>
      <c r="P89" s="12" t="s">
        <v>638</v>
      </c>
      <c r="Q89" s="12" t="s">
        <v>639</v>
      </c>
      <c r="R89" s="13">
        <f t="shared" si="2"/>
        <v>37.989999999999981</v>
      </c>
      <c r="S89" s="13">
        <f t="shared" si="3"/>
        <v>58.529365430533737</v>
      </c>
      <c r="T89" s="14" t="s">
        <v>640</v>
      </c>
      <c r="U89" s="15" t="s">
        <v>641</v>
      </c>
    </row>
    <row r="90" spans="1:21" ht="15.75" thickBot="1" x14ac:dyDescent="0.3">
      <c r="A90" s="3" t="s">
        <v>150</v>
      </c>
      <c r="B90" s="3" t="s">
        <v>150</v>
      </c>
      <c r="C90" s="3" t="s">
        <v>147</v>
      </c>
      <c r="D90" s="3" t="s">
        <v>149</v>
      </c>
      <c r="E90" s="3" t="s">
        <v>149</v>
      </c>
      <c r="F90" s="3" t="s">
        <v>150</v>
      </c>
      <c r="G90" s="3" t="s">
        <v>449</v>
      </c>
      <c r="H90" s="3" t="s">
        <v>335</v>
      </c>
      <c r="I90" s="3" t="s">
        <v>153</v>
      </c>
      <c r="J90" s="4" t="s">
        <v>154</v>
      </c>
      <c r="K90" s="12" t="s">
        <v>642</v>
      </c>
      <c r="L90" s="12" t="s">
        <v>643</v>
      </c>
      <c r="M90" s="12" t="s">
        <v>644</v>
      </c>
      <c r="N90" s="12" t="s">
        <v>645</v>
      </c>
      <c r="O90" s="12" t="s">
        <v>646</v>
      </c>
      <c r="P90" s="12" t="s">
        <v>393</v>
      </c>
      <c r="Q90" s="12" t="s">
        <v>647</v>
      </c>
      <c r="R90" s="13">
        <f t="shared" si="2"/>
        <v>39.659999999999997</v>
      </c>
      <c r="S90" s="13">
        <f t="shared" si="3"/>
        <v>58.22146232193996</v>
      </c>
      <c r="T90" s="14" t="s">
        <v>648</v>
      </c>
      <c r="U90" s="15" t="s">
        <v>618</v>
      </c>
    </row>
    <row r="91" spans="1:21" ht="15.75" thickBot="1" x14ac:dyDescent="0.3">
      <c r="A91" s="5" t="s">
        <v>450</v>
      </c>
      <c r="B91" s="5" t="s">
        <v>478</v>
      </c>
      <c r="C91" s="5" t="s">
        <v>479</v>
      </c>
      <c r="D91" s="5" t="s">
        <v>480</v>
      </c>
      <c r="E91" s="5" t="s">
        <v>480</v>
      </c>
      <c r="F91" s="5" t="s">
        <v>478</v>
      </c>
      <c r="G91" s="5" t="s">
        <v>481</v>
      </c>
      <c r="H91" s="5" t="s">
        <v>482</v>
      </c>
      <c r="I91" s="5" t="s">
        <v>483</v>
      </c>
      <c r="J91" s="6" t="s">
        <v>484</v>
      </c>
      <c r="K91" s="12" t="s">
        <v>649</v>
      </c>
      <c r="L91" s="12">
        <v>95</v>
      </c>
      <c r="M91" s="12" t="s">
        <v>650</v>
      </c>
      <c r="N91" s="12" t="s">
        <v>651</v>
      </c>
      <c r="O91" s="12" t="s">
        <v>652</v>
      </c>
      <c r="P91" s="12" t="s">
        <v>653</v>
      </c>
      <c r="Q91" s="12" t="s">
        <v>654</v>
      </c>
      <c r="R91" s="13">
        <f t="shared" si="2"/>
        <v>39.659999999999997</v>
      </c>
      <c r="S91" s="13">
        <f t="shared" si="3"/>
        <v>58.529365430533737</v>
      </c>
      <c r="T91" s="14" t="s">
        <v>640</v>
      </c>
      <c r="U91" s="15" t="s">
        <v>618</v>
      </c>
    </row>
    <row r="92" spans="1:21" ht="15.75" thickBot="1" x14ac:dyDescent="0.3">
      <c r="A92" s="3" t="s">
        <v>346</v>
      </c>
      <c r="B92" s="3" t="s">
        <v>120</v>
      </c>
      <c r="C92" s="3" t="s">
        <v>485</v>
      </c>
      <c r="D92" s="3" t="s">
        <v>348</v>
      </c>
      <c r="E92" s="3" t="s">
        <v>348</v>
      </c>
      <c r="F92" s="3" t="s">
        <v>346</v>
      </c>
      <c r="G92" s="3" t="s">
        <v>121</v>
      </c>
      <c r="H92" s="3" t="s">
        <v>349</v>
      </c>
      <c r="I92" s="3" t="s">
        <v>350</v>
      </c>
      <c r="J92" s="4" t="s">
        <v>486</v>
      </c>
      <c r="K92" s="12" t="s">
        <v>655</v>
      </c>
      <c r="L92" s="12" t="s">
        <v>656</v>
      </c>
      <c r="M92" s="12" t="s">
        <v>657</v>
      </c>
      <c r="N92" s="12" t="s">
        <v>658</v>
      </c>
      <c r="O92" s="12" t="s">
        <v>659</v>
      </c>
      <c r="P92" s="12" t="s">
        <v>148</v>
      </c>
      <c r="Q92" s="12" t="s">
        <v>660</v>
      </c>
      <c r="R92" s="13">
        <f t="shared" si="2"/>
        <v>39.659999999999997</v>
      </c>
      <c r="S92" s="13">
        <f t="shared" si="3"/>
        <v>58.120442196241946</v>
      </c>
      <c r="T92" s="14" t="s">
        <v>661</v>
      </c>
      <c r="U92" s="15" t="s">
        <v>618</v>
      </c>
    </row>
    <row r="93" spans="1:21" ht="15.75" thickBot="1" x14ac:dyDescent="0.3">
      <c r="A93" s="5" t="s">
        <v>354</v>
      </c>
      <c r="B93" s="5" t="s">
        <v>354</v>
      </c>
      <c r="C93" s="5" t="s">
        <v>217</v>
      </c>
      <c r="D93" s="5" t="s">
        <v>487</v>
      </c>
      <c r="E93" s="5" t="s">
        <v>487</v>
      </c>
      <c r="F93" s="5" t="s">
        <v>488</v>
      </c>
      <c r="G93" s="5" t="s">
        <v>58</v>
      </c>
      <c r="H93" s="5" t="s">
        <v>489</v>
      </c>
      <c r="I93" s="5" t="s">
        <v>490</v>
      </c>
      <c r="J93" s="6" t="s">
        <v>491</v>
      </c>
      <c r="K93" s="12" t="s">
        <v>662</v>
      </c>
      <c r="L93" s="12" t="s">
        <v>663</v>
      </c>
      <c r="M93" s="12" t="s">
        <v>664</v>
      </c>
      <c r="N93" s="12" t="s">
        <v>665</v>
      </c>
      <c r="O93" s="12" t="s">
        <v>141</v>
      </c>
      <c r="P93" s="12" t="s">
        <v>554</v>
      </c>
      <c r="Q93" s="12" t="s">
        <v>666</v>
      </c>
      <c r="R93" s="13">
        <f t="shared" si="2"/>
        <v>39.659999999999997</v>
      </c>
      <c r="S93" s="13">
        <f t="shared" si="3"/>
        <v>58.633657498329875</v>
      </c>
      <c r="T93" s="14" t="s">
        <v>667</v>
      </c>
      <c r="U93" s="15" t="s">
        <v>618</v>
      </c>
    </row>
    <row r="94" spans="1:21" ht="15.75" thickBot="1" x14ac:dyDescent="0.3">
      <c r="A94" s="3" t="s">
        <v>233</v>
      </c>
      <c r="B94" s="3" t="s">
        <v>233</v>
      </c>
      <c r="C94" s="3" t="s">
        <v>235</v>
      </c>
      <c r="D94" s="3" t="s">
        <v>236</v>
      </c>
      <c r="E94" s="3" t="s">
        <v>236</v>
      </c>
      <c r="F94" s="3" t="s">
        <v>233</v>
      </c>
      <c r="G94" s="3" t="s">
        <v>492</v>
      </c>
      <c r="H94" s="3" t="s">
        <v>238</v>
      </c>
      <c r="I94" s="3" t="s">
        <v>17</v>
      </c>
      <c r="J94" s="4" t="s">
        <v>240</v>
      </c>
      <c r="K94" s="12" t="s">
        <v>668</v>
      </c>
      <c r="L94" s="12" t="s">
        <v>669</v>
      </c>
      <c r="M94" s="12" t="s">
        <v>670</v>
      </c>
      <c r="N94" s="12" t="s">
        <v>671</v>
      </c>
      <c r="O94" s="12" t="s">
        <v>435</v>
      </c>
      <c r="P94" s="12" t="s">
        <v>672</v>
      </c>
      <c r="Q94" s="12" t="s">
        <v>660</v>
      </c>
      <c r="R94" s="13">
        <f t="shared" si="2"/>
        <v>39.659999999999997</v>
      </c>
      <c r="S94" s="13">
        <f t="shared" si="3"/>
        <v>58.323281033991577</v>
      </c>
      <c r="T94" s="14" t="s">
        <v>633</v>
      </c>
      <c r="U94" s="15" t="s">
        <v>618</v>
      </c>
    </row>
    <row r="95" spans="1:21" ht="15.75" thickBot="1" x14ac:dyDescent="0.3">
      <c r="A95" s="5" t="s">
        <v>241</v>
      </c>
      <c r="B95" s="5" t="s">
        <v>122</v>
      </c>
      <c r="C95" s="5" t="s">
        <v>242</v>
      </c>
      <c r="D95" s="5" t="s">
        <v>125</v>
      </c>
      <c r="E95" s="5" t="s">
        <v>125</v>
      </c>
      <c r="F95" s="5" t="s">
        <v>122</v>
      </c>
      <c r="G95" s="5" t="s">
        <v>493</v>
      </c>
      <c r="H95" s="5" t="s">
        <v>243</v>
      </c>
      <c r="I95" s="5" t="s">
        <v>128</v>
      </c>
      <c r="J95" s="6" t="s">
        <v>245</v>
      </c>
      <c r="K95" s="12" t="s">
        <v>673</v>
      </c>
      <c r="L95" s="12" t="s">
        <v>674</v>
      </c>
      <c r="M95" s="12" t="s">
        <v>675</v>
      </c>
      <c r="N95" s="12" t="s">
        <v>676</v>
      </c>
      <c r="O95" s="12" t="s">
        <v>677</v>
      </c>
      <c r="P95" s="12" t="s">
        <v>676</v>
      </c>
      <c r="Q95" s="12" t="s">
        <v>625</v>
      </c>
      <c r="R95" s="13">
        <f t="shared" si="2"/>
        <v>39.659999999999997</v>
      </c>
      <c r="S95" s="13">
        <f t="shared" si="3"/>
        <v>58.425911059072973</v>
      </c>
      <c r="T95" s="14" t="s">
        <v>678</v>
      </c>
      <c r="U95" s="15" t="s">
        <v>618</v>
      </c>
    </row>
    <row r="96" spans="1:21" ht="15.75" thickBot="1" x14ac:dyDescent="0.3">
      <c r="A96" s="3" t="s">
        <v>473</v>
      </c>
      <c r="B96" s="3" t="s">
        <v>469</v>
      </c>
      <c r="C96" s="3" t="s">
        <v>470</v>
      </c>
      <c r="D96" s="3" t="s">
        <v>472</v>
      </c>
      <c r="E96" s="3" t="s">
        <v>472</v>
      </c>
      <c r="F96" s="3" t="s">
        <v>473</v>
      </c>
      <c r="G96" s="3" t="s">
        <v>474</v>
      </c>
      <c r="H96" s="3" t="s">
        <v>494</v>
      </c>
      <c r="I96" s="3" t="s">
        <v>268</v>
      </c>
      <c r="J96" s="4" t="s">
        <v>477</v>
      </c>
      <c r="K96" s="12" t="s">
        <v>679</v>
      </c>
      <c r="L96" s="12" t="s">
        <v>680</v>
      </c>
      <c r="M96" s="12" t="s">
        <v>681</v>
      </c>
      <c r="N96" s="12" t="s">
        <v>682</v>
      </c>
      <c r="O96" s="12" t="s">
        <v>517</v>
      </c>
      <c r="P96" s="12" t="s">
        <v>683</v>
      </c>
      <c r="Q96" s="12" t="s">
        <v>632</v>
      </c>
      <c r="R96" s="13">
        <f t="shared" si="2"/>
        <v>39.659999999999997</v>
      </c>
      <c r="S96" s="13">
        <f t="shared" si="3"/>
        <v>58.529365430533737</v>
      </c>
      <c r="T96" s="14" t="s">
        <v>640</v>
      </c>
      <c r="U96" s="15" t="s">
        <v>618</v>
      </c>
    </row>
    <row r="97" spans="1:21" ht="15.75" thickBot="1" x14ac:dyDescent="0.3">
      <c r="A97" s="5" t="s">
        <v>316</v>
      </c>
      <c r="B97" s="5" t="s">
        <v>316</v>
      </c>
      <c r="C97" s="5" t="s">
        <v>226</v>
      </c>
      <c r="D97" s="5" t="s">
        <v>495</v>
      </c>
      <c r="E97" s="5" t="s">
        <v>495</v>
      </c>
      <c r="F97" s="5" t="s">
        <v>496</v>
      </c>
      <c r="G97" s="5" t="s">
        <v>497</v>
      </c>
      <c r="H97" s="5" t="s">
        <v>498</v>
      </c>
      <c r="I97" s="5" t="s">
        <v>499</v>
      </c>
      <c r="J97" s="6" t="s">
        <v>500</v>
      </c>
      <c r="K97" s="12" t="s">
        <v>684</v>
      </c>
      <c r="L97" s="12" t="s">
        <v>685</v>
      </c>
      <c r="M97" s="12" t="s">
        <v>686</v>
      </c>
      <c r="N97" s="12" t="s">
        <v>622</v>
      </c>
      <c r="O97" s="12" t="s">
        <v>623</v>
      </c>
      <c r="P97" s="12" t="s">
        <v>687</v>
      </c>
      <c r="Q97" s="12" t="s">
        <v>632</v>
      </c>
      <c r="R97" s="13">
        <f t="shared" si="2"/>
        <v>39.659999999999997</v>
      </c>
      <c r="S97" s="13">
        <f t="shared" si="3"/>
        <v>58.323281033991577</v>
      </c>
      <c r="T97" s="14" t="s">
        <v>633</v>
      </c>
      <c r="U97" s="15" t="s">
        <v>618</v>
      </c>
    </row>
    <row r="98" spans="1:21" ht="15.75" thickBot="1" x14ac:dyDescent="0.3">
      <c r="A98" s="3" t="s">
        <v>289</v>
      </c>
      <c r="B98" s="3" t="s">
        <v>289</v>
      </c>
      <c r="C98" s="3" t="s">
        <v>290</v>
      </c>
      <c r="D98" s="3" t="s">
        <v>292</v>
      </c>
      <c r="E98" s="3" t="s">
        <v>292</v>
      </c>
      <c r="F98" s="3" t="s">
        <v>288</v>
      </c>
      <c r="G98" s="3" t="s">
        <v>501</v>
      </c>
      <c r="H98" s="3" t="s">
        <v>294</v>
      </c>
      <c r="I98" s="3" t="s">
        <v>502</v>
      </c>
      <c r="J98" s="4" t="s">
        <v>296</v>
      </c>
      <c r="K98" s="12" t="s">
        <v>688</v>
      </c>
      <c r="L98" s="12" t="s">
        <v>689</v>
      </c>
      <c r="M98" s="12" t="s">
        <v>690</v>
      </c>
      <c r="N98" s="12" t="s">
        <v>494</v>
      </c>
      <c r="O98" s="12" t="s">
        <v>691</v>
      </c>
      <c r="P98" s="12" t="s">
        <v>692</v>
      </c>
      <c r="Q98" s="12" t="s">
        <v>693</v>
      </c>
      <c r="R98" s="13">
        <f t="shared" si="2"/>
        <v>39.659999999999997</v>
      </c>
      <c r="S98" s="13">
        <f t="shared" si="3"/>
        <v>58.120442196241946</v>
      </c>
      <c r="T98" s="14" t="s">
        <v>661</v>
      </c>
      <c r="U98" s="15" t="s">
        <v>618</v>
      </c>
    </row>
    <row r="99" spans="1:21" ht="15.75" thickBot="1" x14ac:dyDescent="0.3">
      <c r="A99" s="5" t="s">
        <v>503</v>
      </c>
      <c r="B99" s="5" t="s">
        <v>504</v>
      </c>
      <c r="C99" s="5" t="s">
        <v>490</v>
      </c>
      <c r="D99" s="5" t="s">
        <v>244</v>
      </c>
      <c r="E99" s="5" t="s">
        <v>244</v>
      </c>
      <c r="F99" s="5" t="s">
        <v>503</v>
      </c>
      <c r="G99" s="5" t="s">
        <v>505</v>
      </c>
      <c r="H99" s="5" t="s">
        <v>506</v>
      </c>
      <c r="I99" s="5" t="s">
        <v>507</v>
      </c>
      <c r="J99" s="6" t="s">
        <v>508</v>
      </c>
      <c r="K99" s="12" t="s">
        <v>694</v>
      </c>
      <c r="L99" s="12" t="s">
        <v>695</v>
      </c>
      <c r="M99" s="12" t="s">
        <v>696</v>
      </c>
      <c r="N99" s="12" t="s">
        <v>697</v>
      </c>
      <c r="O99" s="12" t="s">
        <v>507</v>
      </c>
      <c r="P99" s="12" t="s">
        <v>698</v>
      </c>
      <c r="Q99" s="12" t="s">
        <v>660</v>
      </c>
      <c r="R99" s="13">
        <f t="shared" si="2"/>
        <v>39.659999999999997</v>
      </c>
      <c r="S99" s="13">
        <f t="shared" si="3"/>
        <v>58.425911059072973</v>
      </c>
      <c r="T99" s="14" t="s">
        <v>678</v>
      </c>
      <c r="U99" s="15" t="s">
        <v>618</v>
      </c>
    </row>
    <row r="100" spans="1:21" ht="15.75" thickBot="1" x14ac:dyDescent="0.3">
      <c r="A100" s="3" t="s">
        <v>62</v>
      </c>
      <c r="B100" s="3" t="s">
        <v>59</v>
      </c>
      <c r="C100" s="3" t="s">
        <v>509</v>
      </c>
      <c r="D100" s="3" t="s">
        <v>61</v>
      </c>
      <c r="E100" s="3" t="s">
        <v>61</v>
      </c>
      <c r="F100" s="3" t="s">
        <v>59</v>
      </c>
      <c r="G100" s="3" t="s">
        <v>414</v>
      </c>
      <c r="H100" s="3" t="s">
        <v>510</v>
      </c>
      <c r="I100" s="3" t="s">
        <v>358</v>
      </c>
      <c r="J100" s="4" t="s">
        <v>119</v>
      </c>
      <c r="K100" s="12" t="s">
        <v>699</v>
      </c>
      <c r="L100" s="12" t="s">
        <v>700</v>
      </c>
      <c r="M100" s="12" t="s">
        <v>701</v>
      </c>
      <c r="N100" s="12" t="s">
        <v>702</v>
      </c>
      <c r="O100" s="12" t="s">
        <v>703</v>
      </c>
      <c r="P100" s="12" t="s">
        <v>344</v>
      </c>
      <c r="Q100" s="12" t="s">
        <v>704</v>
      </c>
      <c r="R100" s="13">
        <f t="shared" si="2"/>
        <v>39.659999999999997</v>
      </c>
      <c r="S100" s="13">
        <f t="shared" si="3"/>
        <v>58.020208227348277</v>
      </c>
      <c r="T100" s="14" t="s">
        <v>705</v>
      </c>
      <c r="U100" s="15" t="s">
        <v>618</v>
      </c>
    </row>
    <row r="101" spans="1:21" ht="15.75" thickBot="1" x14ac:dyDescent="0.3">
      <c r="A101" s="5" t="s">
        <v>139</v>
      </c>
      <c r="B101" s="5" t="s">
        <v>139</v>
      </c>
      <c r="C101" s="5" t="s">
        <v>140</v>
      </c>
      <c r="D101" s="5" t="s">
        <v>141</v>
      </c>
      <c r="E101" s="5" t="s">
        <v>141</v>
      </c>
      <c r="F101" s="5" t="s">
        <v>139</v>
      </c>
      <c r="G101" s="5" t="s">
        <v>448</v>
      </c>
      <c r="H101" s="5" t="s">
        <v>144</v>
      </c>
      <c r="I101" s="5" t="s">
        <v>311</v>
      </c>
      <c r="J101" s="6" t="s">
        <v>145</v>
      </c>
      <c r="K101" s="12" t="s">
        <v>706</v>
      </c>
      <c r="L101" s="12" t="s">
        <v>707</v>
      </c>
      <c r="M101" s="12" t="s">
        <v>708</v>
      </c>
      <c r="N101" s="12" t="s">
        <v>305</v>
      </c>
      <c r="O101" s="12" t="s">
        <v>709</v>
      </c>
      <c r="P101" s="12" t="s">
        <v>52</v>
      </c>
      <c r="Q101" s="12" t="s">
        <v>710</v>
      </c>
      <c r="R101" s="13">
        <f t="shared" si="2"/>
        <v>39.659999999999997</v>
      </c>
      <c r="S101" s="13">
        <f t="shared" si="3"/>
        <v>58.633657498329875</v>
      </c>
      <c r="T101" s="14" t="s">
        <v>667</v>
      </c>
      <c r="U101" s="15" t="s">
        <v>618</v>
      </c>
    </row>
    <row r="102" spans="1:21" ht="15.75" thickBot="1" x14ac:dyDescent="0.3">
      <c r="A102" s="3" t="s">
        <v>277</v>
      </c>
      <c r="B102" s="3" t="s">
        <v>277</v>
      </c>
      <c r="C102" s="3" t="s">
        <v>279</v>
      </c>
      <c r="D102" s="3" t="s">
        <v>280</v>
      </c>
      <c r="E102" s="3" t="s">
        <v>280</v>
      </c>
      <c r="F102" s="3" t="s">
        <v>278</v>
      </c>
      <c r="G102" s="3" t="s">
        <v>428</v>
      </c>
      <c r="H102" s="3" t="s">
        <v>281</v>
      </c>
      <c r="I102" s="3" t="s">
        <v>511</v>
      </c>
      <c r="J102" s="4" t="s">
        <v>283</v>
      </c>
      <c r="K102" s="12" t="s">
        <v>711</v>
      </c>
      <c r="L102" s="12" t="s">
        <v>712</v>
      </c>
      <c r="M102" s="12" t="s">
        <v>713</v>
      </c>
      <c r="N102" s="12" t="s">
        <v>151</v>
      </c>
      <c r="O102" s="12" t="s">
        <v>714</v>
      </c>
      <c r="P102" s="12" t="s">
        <v>715</v>
      </c>
      <c r="Q102" s="12" t="s">
        <v>716</v>
      </c>
      <c r="R102" s="13">
        <f t="shared" si="2"/>
        <v>39.659999999999997</v>
      </c>
      <c r="S102" s="13">
        <f t="shared" si="3"/>
        <v>58.22146232193996</v>
      </c>
      <c r="T102" s="14" t="s">
        <v>648</v>
      </c>
      <c r="U102" s="15" t="s">
        <v>618</v>
      </c>
    </row>
    <row r="103" spans="1:21" ht="15.75" thickBot="1" x14ac:dyDescent="0.3">
      <c r="A103" s="5" t="s">
        <v>284</v>
      </c>
      <c r="B103" s="5" t="s">
        <v>155</v>
      </c>
      <c r="C103" s="5" t="s">
        <v>156</v>
      </c>
      <c r="D103" s="5" t="s">
        <v>157</v>
      </c>
      <c r="E103" s="5" t="s">
        <v>157</v>
      </c>
      <c r="F103" s="5" t="s">
        <v>284</v>
      </c>
      <c r="G103" s="5" t="s">
        <v>512</v>
      </c>
      <c r="H103" s="5" t="s">
        <v>160</v>
      </c>
      <c r="I103" s="5" t="s">
        <v>513</v>
      </c>
      <c r="J103" s="6" t="s">
        <v>162</v>
      </c>
      <c r="K103" s="12" t="s">
        <v>717</v>
      </c>
      <c r="L103" s="12" t="s">
        <v>718</v>
      </c>
      <c r="M103" s="12" t="s">
        <v>719</v>
      </c>
      <c r="N103" s="12" t="s">
        <v>720</v>
      </c>
      <c r="O103" s="12" t="s">
        <v>721</v>
      </c>
      <c r="P103" s="12" t="s">
        <v>143</v>
      </c>
      <c r="Q103" s="12" t="s">
        <v>722</v>
      </c>
      <c r="R103" s="13">
        <f t="shared" si="2"/>
        <v>39.659999999999997</v>
      </c>
      <c r="S103" s="13">
        <f t="shared" si="3"/>
        <v>58.323281033991577</v>
      </c>
      <c r="T103" s="14" t="s">
        <v>633</v>
      </c>
      <c r="U103" s="15" t="s">
        <v>618</v>
      </c>
    </row>
    <row r="104" spans="1:21" ht="15.75" thickBot="1" x14ac:dyDescent="0.3">
      <c r="A104" s="3" t="s">
        <v>219</v>
      </c>
      <c r="B104" s="3" t="s">
        <v>313</v>
      </c>
      <c r="C104" s="3" t="s">
        <v>220</v>
      </c>
      <c r="D104" s="3" t="s">
        <v>314</v>
      </c>
      <c r="E104" s="3" t="s">
        <v>314</v>
      </c>
      <c r="F104" s="3" t="s">
        <v>313</v>
      </c>
      <c r="G104" s="3" t="s">
        <v>514</v>
      </c>
      <c r="H104" s="3" t="s">
        <v>223</v>
      </c>
      <c r="I104" s="3" t="s">
        <v>166</v>
      </c>
      <c r="J104" s="4" t="s">
        <v>225</v>
      </c>
      <c r="K104" s="12" t="s">
        <v>723</v>
      </c>
      <c r="L104" s="12" t="s">
        <v>724</v>
      </c>
      <c r="M104" s="12">
        <v>50</v>
      </c>
      <c r="N104" s="12" t="s">
        <v>47</v>
      </c>
      <c r="O104" s="12" t="s">
        <v>725</v>
      </c>
      <c r="P104" s="12" t="s">
        <v>726</v>
      </c>
      <c r="Q104" s="12" t="s">
        <v>727</v>
      </c>
      <c r="R104" s="13">
        <f t="shared" si="2"/>
        <v>39.659999999999997</v>
      </c>
      <c r="S104" s="13">
        <f t="shared" si="3"/>
        <v>58.529365430533737</v>
      </c>
      <c r="T104" s="14" t="s">
        <v>640</v>
      </c>
      <c r="U104" s="15" t="s">
        <v>618</v>
      </c>
    </row>
    <row r="105" spans="1:21" ht="15.75" thickBot="1" x14ac:dyDescent="0.3">
      <c r="A105" s="5" t="s">
        <v>226</v>
      </c>
      <c r="B105" s="5" t="s">
        <v>226</v>
      </c>
      <c r="C105" s="5" t="s">
        <v>41</v>
      </c>
      <c r="D105" s="5" t="s">
        <v>286</v>
      </c>
      <c r="E105" s="5" t="s">
        <v>286</v>
      </c>
      <c r="F105" s="5" t="s">
        <v>226</v>
      </c>
      <c r="G105" s="5" t="s">
        <v>455</v>
      </c>
      <c r="H105" s="5" t="s">
        <v>230</v>
      </c>
      <c r="I105" s="5" t="s">
        <v>456</v>
      </c>
      <c r="J105" s="6" t="s">
        <v>232</v>
      </c>
      <c r="K105" s="12" t="s">
        <v>728</v>
      </c>
      <c r="L105" s="12" t="s">
        <v>729</v>
      </c>
      <c r="M105" s="12" t="s">
        <v>730</v>
      </c>
      <c r="N105" s="12" t="s">
        <v>731</v>
      </c>
      <c r="O105" s="12" t="s">
        <v>732</v>
      </c>
      <c r="P105" s="12" t="s">
        <v>733</v>
      </c>
      <c r="Q105" s="12" t="s">
        <v>727</v>
      </c>
      <c r="R105" s="13">
        <f t="shared" si="2"/>
        <v>39.659999999999997</v>
      </c>
      <c r="S105" s="13">
        <f t="shared" si="3"/>
        <v>58.22146232193996</v>
      </c>
      <c r="T105" s="14" t="s">
        <v>648</v>
      </c>
      <c r="U105" s="15" t="s">
        <v>618</v>
      </c>
    </row>
    <row r="106" spans="1:21" ht="15.75" thickBot="1" x14ac:dyDescent="0.3">
      <c r="A106" s="3" t="s">
        <v>122</v>
      </c>
      <c r="B106" s="3" t="s">
        <v>122</v>
      </c>
      <c r="C106" s="3" t="s">
        <v>123</v>
      </c>
      <c r="D106" s="3" t="s">
        <v>125</v>
      </c>
      <c r="E106" s="3" t="s">
        <v>124</v>
      </c>
      <c r="F106" s="3" t="s">
        <v>241</v>
      </c>
      <c r="G106" s="3" t="s">
        <v>493</v>
      </c>
      <c r="H106" s="3" t="s">
        <v>243</v>
      </c>
      <c r="I106" s="3" t="s">
        <v>128</v>
      </c>
      <c r="J106" s="4" t="s">
        <v>129</v>
      </c>
      <c r="K106" s="12" t="s">
        <v>734</v>
      </c>
      <c r="L106" s="12" t="s">
        <v>735</v>
      </c>
      <c r="M106" s="12" t="s">
        <v>736</v>
      </c>
      <c r="N106" s="12" t="s">
        <v>676</v>
      </c>
      <c r="O106" s="12" t="s">
        <v>677</v>
      </c>
      <c r="P106" s="12" t="s">
        <v>270</v>
      </c>
      <c r="Q106" s="12" t="s">
        <v>660</v>
      </c>
      <c r="R106" s="13">
        <f t="shared" si="2"/>
        <v>39.659999999999997</v>
      </c>
      <c r="S106" s="13">
        <f t="shared" si="3"/>
        <v>58.323281033991577</v>
      </c>
      <c r="T106" s="14" t="s">
        <v>633</v>
      </c>
      <c r="U106" s="15" t="s">
        <v>618</v>
      </c>
    </row>
    <row r="107" spans="1:21" ht="15.75" thickBot="1" x14ac:dyDescent="0.3">
      <c r="A107" s="5" t="s">
        <v>297</v>
      </c>
      <c r="B107" s="5" t="s">
        <v>190</v>
      </c>
      <c r="C107" s="5" t="s">
        <v>112</v>
      </c>
      <c r="D107" s="5" t="s">
        <v>191</v>
      </c>
      <c r="E107" s="5" t="s">
        <v>298</v>
      </c>
      <c r="F107" s="5" t="s">
        <v>297</v>
      </c>
      <c r="G107" s="5" t="s">
        <v>442</v>
      </c>
      <c r="H107" s="5" t="s">
        <v>193</v>
      </c>
      <c r="I107" s="5" t="s">
        <v>147</v>
      </c>
      <c r="J107" s="6" t="s">
        <v>195</v>
      </c>
      <c r="K107" s="12" t="s">
        <v>737</v>
      </c>
      <c r="L107" s="12" t="s">
        <v>738</v>
      </c>
      <c r="M107" s="12" t="s">
        <v>739</v>
      </c>
      <c r="N107" s="12" t="s">
        <v>430</v>
      </c>
      <c r="O107" s="12" t="s">
        <v>104</v>
      </c>
      <c r="P107" s="12" t="s">
        <v>159</v>
      </c>
      <c r="Q107" s="12" t="s">
        <v>660</v>
      </c>
      <c r="R107" s="13">
        <f t="shared" si="2"/>
        <v>39.659999999999997</v>
      </c>
      <c r="S107" s="13">
        <f t="shared" si="3"/>
        <v>58.120442196241946</v>
      </c>
      <c r="T107" s="14" t="s">
        <v>661</v>
      </c>
      <c r="U107" s="15" t="s">
        <v>618</v>
      </c>
    </row>
    <row r="108" spans="1:21" ht="15.75" thickBot="1" x14ac:dyDescent="0.3">
      <c r="A108" s="3" t="s">
        <v>496</v>
      </c>
      <c r="B108" s="3" t="s">
        <v>316</v>
      </c>
      <c r="C108" s="3" t="s">
        <v>515</v>
      </c>
      <c r="D108" s="3" t="s">
        <v>495</v>
      </c>
      <c r="E108" s="3" t="s">
        <v>143</v>
      </c>
      <c r="F108" s="3" t="s">
        <v>316</v>
      </c>
      <c r="G108" s="3" t="s">
        <v>497</v>
      </c>
      <c r="H108" s="3" t="s">
        <v>498</v>
      </c>
      <c r="I108" s="3" t="s">
        <v>499</v>
      </c>
      <c r="J108" s="4" t="s">
        <v>516</v>
      </c>
      <c r="K108" s="12" t="s">
        <v>740</v>
      </c>
      <c r="L108" s="12" t="s">
        <v>741</v>
      </c>
      <c r="M108" s="12" t="s">
        <v>742</v>
      </c>
      <c r="N108" s="12" t="s">
        <v>622</v>
      </c>
      <c r="O108" s="12" t="s">
        <v>623</v>
      </c>
      <c r="P108" s="12" t="s">
        <v>743</v>
      </c>
      <c r="Q108" s="12" t="s">
        <v>704</v>
      </c>
      <c r="R108" s="13">
        <f t="shared" si="2"/>
        <v>39.659999999999997</v>
      </c>
      <c r="S108" s="13">
        <f t="shared" si="3"/>
        <v>58.323281033991577</v>
      </c>
      <c r="T108" s="14" t="s">
        <v>633</v>
      </c>
      <c r="U108" s="15" t="s">
        <v>618</v>
      </c>
    </row>
    <row r="109" spans="1:21" ht="15.75" thickBot="1" x14ac:dyDescent="0.3">
      <c r="A109" s="5" t="s">
        <v>146</v>
      </c>
      <c r="B109" s="5" t="s">
        <v>146</v>
      </c>
      <c r="C109" s="5" t="s">
        <v>147</v>
      </c>
      <c r="D109" s="5" t="s">
        <v>149</v>
      </c>
      <c r="E109" s="5" t="s">
        <v>148</v>
      </c>
      <c r="F109" s="5" t="s">
        <v>146</v>
      </c>
      <c r="G109" s="5" t="s">
        <v>449</v>
      </c>
      <c r="H109" s="5" t="s">
        <v>335</v>
      </c>
      <c r="I109" s="5" t="s">
        <v>153</v>
      </c>
      <c r="J109" s="6" t="s">
        <v>154</v>
      </c>
      <c r="K109" s="12" t="s">
        <v>744</v>
      </c>
      <c r="L109" s="12">
        <v>71</v>
      </c>
      <c r="M109" s="12" t="s">
        <v>745</v>
      </c>
      <c r="N109" s="12" t="s">
        <v>645</v>
      </c>
      <c r="O109" s="12" t="s">
        <v>646</v>
      </c>
      <c r="P109" s="12" t="s">
        <v>393</v>
      </c>
      <c r="Q109" s="12" t="s">
        <v>722</v>
      </c>
      <c r="R109" s="13">
        <f t="shared" si="2"/>
        <v>39.659999999999997</v>
      </c>
      <c r="S109" s="13">
        <f t="shared" si="3"/>
        <v>58.323281033991577</v>
      </c>
      <c r="T109" s="14" t="s">
        <v>633</v>
      </c>
      <c r="U109" s="15" t="s">
        <v>618</v>
      </c>
    </row>
    <row r="110" spans="1:21" ht="15.75" thickBot="1" x14ac:dyDescent="0.3">
      <c r="A110" s="3" t="s">
        <v>197</v>
      </c>
      <c r="B110" s="3" t="s">
        <v>197</v>
      </c>
      <c r="C110" s="3" t="s">
        <v>74</v>
      </c>
      <c r="D110" s="3" t="s">
        <v>199</v>
      </c>
      <c r="E110" s="3" t="s">
        <v>517</v>
      </c>
      <c r="F110" s="3" t="s">
        <v>196</v>
      </c>
      <c r="G110" s="3" t="s">
        <v>518</v>
      </c>
      <c r="H110" s="3" t="s">
        <v>519</v>
      </c>
      <c r="I110" s="3" t="s">
        <v>202</v>
      </c>
      <c r="J110" s="4" t="s">
        <v>520</v>
      </c>
      <c r="K110" s="12" t="s">
        <v>746</v>
      </c>
      <c r="L110" s="12" t="s">
        <v>747</v>
      </c>
      <c r="M110" s="12" t="s">
        <v>748</v>
      </c>
      <c r="N110" s="12" t="s">
        <v>749</v>
      </c>
      <c r="O110" s="12" t="s">
        <v>750</v>
      </c>
      <c r="P110" s="12" t="s">
        <v>751</v>
      </c>
      <c r="Q110" s="12" t="s">
        <v>752</v>
      </c>
      <c r="R110" s="13">
        <f t="shared" si="2"/>
        <v>39.659999999999997</v>
      </c>
      <c r="S110" s="13">
        <f t="shared" si="3"/>
        <v>58.020208227348277</v>
      </c>
      <c r="T110" s="14" t="s">
        <v>705</v>
      </c>
      <c r="U110" s="15" t="s">
        <v>618</v>
      </c>
    </row>
    <row r="111" spans="1:21" ht="15.75" thickBot="1" x14ac:dyDescent="0.3">
      <c r="A111" s="5" t="s">
        <v>163</v>
      </c>
      <c r="B111" s="5" t="s">
        <v>164</v>
      </c>
      <c r="C111" s="5" t="s">
        <v>165</v>
      </c>
      <c r="D111" s="5" t="s">
        <v>167</v>
      </c>
      <c r="E111" s="5" t="s">
        <v>166</v>
      </c>
      <c r="F111" s="5" t="s">
        <v>163</v>
      </c>
      <c r="G111" s="5" t="s">
        <v>521</v>
      </c>
      <c r="H111" s="5" t="s">
        <v>522</v>
      </c>
      <c r="I111" s="5" t="s">
        <v>170</v>
      </c>
      <c r="J111" s="6" t="s">
        <v>171</v>
      </c>
      <c r="K111" s="12" t="s">
        <v>753</v>
      </c>
      <c r="L111" s="12" t="s">
        <v>754</v>
      </c>
      <c r="M111" s="12" t="s">
        <v>755</v>
      </c>
      <c r="N111" s="12" t="s">
        <v>756</v>
      </c>
      <c r="O111" s="12" t="s">
        <v>502</v>
      </c>
      <c r="P111" s="12" t="s">
        <v>445</v>
      </c>
      <c r="Q111" s="12" t="s">
        <v>632</v>
      </c>
      <c r="R111" s="13">
        <f t="shared" si="2"/>
        <v>39.659999999999997</v>
      </c>
      <c r="S111" s="13">
        <f t="shared" si="3"/>
        <v>58.529365430533737</v>
      </c>
      <c r="T111" s="14" t="s">
        <v>640</v>
      </c>
      <c r="U111" s="15" t="s">
        <v>618</v>
      </c>
    </row>
    <row r="112" spans="1:21" ht="15.75" thickBot="1" x14ac:dyDescent="0.3">
      <c r="A112" s="3" t="s">
        <v>172</v>
      </c>
      <c r="B112" s="3" t="s">
        <v>173</v>
      </c>
      <c r="C112" s="3" t="s">
        <v>174</v>
      </c>
      <c r="D112" s="3" t="s">
        <v>176</v>
      </c>
      <c r="E112" s="3" t="s">
        <v>175</v>
      </c>
      <c r="F112" s="3" t="s">
        <v>173</v>
      </c>
      <c r="G112" s="3" t="s">
        <v>523</v>
      </c>
      <c r="H112" s="3" t="s">
        <v>524</v>
      </c>
      <c r="I112" s="3" t="s">
        <v>179</v>
      </c>
      <c r="J112" s="4" t="s">
        <v>180</v>
      </c>
      <c r="K112" s="12" t="s">
        <v>757</v>
      </c>
      <c r="L112" s="12" t="s">
        <v>758</v>
      </c>
      <c r="M112" s="12" t="s">
        <v>759</v>
      </c>
      <c r="N112" s="12" t="s">
        <v>760</v>
      </c>
      <c r="O112" s="12" t="s">
        <v>442</v>
      </c>
      <c r="P112" s="12" t="s">
        <v>761</v>
      </c>
      <c r="Q112" s="12" t="s">
        <v>727</v>
      </c>
      <c r="R112" s="13">
        <f t="shared" si="2"/>
        <v>39.659999999999997</v>
      </c>
      <c r="S112" s="13">
        <f t="shared" si="3"/>
        <v>58.120442196241946</v>
      </c>
      <c r="T112" s="14" t="s">
        <v>661</v>
      </c>
      <c r="U112" s="15" t="s">
        <v>618</v>
      </c>
    </row>
    <row r="113" spans="1:21" ht="15.75" thickBot="1" x14ac:dyDescent="0.3">
      <c r="A113" s="5" t="s">
        <v>234</v>
      </c>
      <c r="B113" s="5" t="s">
        <v>234</v>
      </c>
      <c r="C113" s="5" t="s">
        <v>235</v>
      </c>
      <c r="D113" s="5" t="s">
        <v>236</v>
      </c>
      <c r="E113" s="5" t="s">
        <v>507</v>
      </c>
      <c r="F113" s="5" t="s">
        <v>234</v>
      </c>
      <c r="G113" s="5" t="s">
        <v>492</v>
      </c>
      <c r="H113" s="5" t="s">
        <v>238</v>
      </c>
      <c r="I113" s="5" t="s">
        <v>17</v>
      </c>
      <c r="J113" s="6" t="s">
        <v>240</v>
      </c>
      <c r="K113" s="12" t="s">
        <v>762</v>
      </c>
      <c r="L113" s="12" t="s">
        <v>763</v>
      </c>
      <c r="M113" s="12" t="s">
        <v>764</v>
      </c>
      <c r="N113" s="12" t="s">
        <v>671</v>
      </c>
      <c r="O113" s="12" t="s">
        <v>435</v>
      </c>
      <c r="P113" s="12" t="s">
        <v>672</v>
      </c>
      <c r="Q113" s="12" t="s">
        <v>765</v>
      </c>
      <c r="R113" s="13">
        <f t="shared" si="2"/>
        <v>39.659999999999997</v>
      </c>
      <c r="S113" s="13">
        <f t="shared" si="3"/>
        <v>58.425911059072973</v>
      </c>
      <c r="T113" s="14" t="s">
        <v>678</v>
      </c>
      <c r="U113" s="15" t="s">
        <v>618</v>
      </c>
    </row>
    <row r="114" spans="1:21" ht="15.75" thickBot="1" x14ac:dyDescent="0.3">
      <c r="A114" s="3" t="s">
        <v>66</v>
      </c>
      <c r="B114" s="3" t="s">
        <v>66</v>
      </c>
      <c r="C114" s="3" t="s">
        <v>67</v>
      </c>
      <c r="D114" s="3" t="s">
        <v>69</v>
      </c>
      <c r="E114" s="3" t="s">
        <v>68</v>
      </c>
      <c r="F114" s="3" t="s">
        <v>326</v>
      </c>
      <c r="G114" s="3" t="s">
        <v>525</v>
      </c>
      <c r="H114" s="3" t="s">
        <v>327</v>
      </c>
      <c r="I114" s="3" t="s">
        <v>72</v>
      </c>
      <c r="J114" s="4" t="s">
        <v>73</v>
      </c>
      <c r="K114" s="12" t="s">
        <v>766</v>
      </c>
      <c r="L114" s="12" t="s">
        <v>767</v>
      </c>
      <c r="M114" s="12" t="s">
        <v>768</v>
      </c>
      <c r="N114" s="12" t="s">
        <v>403</v>
      </c>
      <c r="O114" s="12" t="s">
        <v>769</v>
      </c>
      <c r="P114" s="12" t="s">
        <v>770</v>
      </c>
      <c r="Q114" s="12" t="s">
        <v>727</v>
      </c>
      <c r="R114" s="13">
        <f t="shared" si="2"/>
        <v>39.659999999999997</v>
      </c>
      <c r="S114" s="13">
        <f t="shared" si="3"/>
        <v>58.22146232193996</v>
      </c>
      <c r="T114" s="14" t="s">
        <v>648</v>
      </c>
      <c r="U114" s="15" t="s">
        <v>618</v>
      </c>
    </row>
    <row r="115" spans="1:21" ht="15.75" thickBot="1" x14ac:dyDescent="0.3">
      <c r="A115" s="5" t="s">
        <v>329</v>
      </c>
      <c r="B115" s="5" t="s">
        <v>526</v>
      </c>
      <c r="C115" s="5" t="s">
        <v>261</v>
      </c>
      <c r="D115" s="5" t="s">
        <v>330</v>
      </c>
      <c r="E115" s="5" t="s">
        <v>331</v>
      </c>
      <c r="F115" s="5" t="s">
        <v>329</v>
      </c>
      <c r="G115" s="5" t="s">
        <v>527</v>
      </c>
      <c r="H115" s="5" t="s">
        <v>332</v>
      </c>
      <c r="I115" s="5" t="s">
        <v>528</v>
      </c>
      <c r="J115" s="6" t="s">
        <v>334</v>
      </c>
      <c r="K115" s="12" t="s">
        <v>771</v>
      </c>
      <c r="L115" s="12" t="s">
        <v>772</v>
      </c>
      <c r="M115" s="12" t="s">
        <v>773</v>
      </c>
      <c r="N115" s="12" t="s">
        <v>774</v>
      </c>
      <c r="O115" s="12" t="s">
        <v>637</v>
      </c>
      <c r="P115" s="12" t="s">
        <v>775</v>
      </c>
      <c r="Q115" s="12" t="s">
        <v>765</v>
      </c>
      <c r="R115" s="13">
        <f t="shared" si="2"/>
        <v>39.659999999999997</v>
      </c>
      <c r="S115" s="13">
        <f t="shared" si="3"/>
        <v>58.529365430533737</v>
      </c>
      <c r="T115" s="14" t="s">
        <v>640</v>
      </c>
      <c r="U115" s="15" t="s">
        <v>618</v>
      </c>
    </row>
    <row r="116" spans="1:21" ht="15.75" thickBot="1" x14ac:dyDescent="0.3">
      <c r="A116" s="3" t="s">
        <v>457</v>
      </c>
      <c r="B116" s="3" t="s">
        <v>372</v>
      </c>
      <c r="C116" s="3" t="s">
        <v>373</v>
      </c>
      <c r="D116" s="3" t="s">
        <v>459</v>
      </c>
      <c r="E116" s="3" t="s">
        <v>374</v>
      </c>
      <c r="F116" s="3" t="s">
        <v>372</v>
      </c>
      <c r="G116" s="3" t="s">
        <v>460</v>
      </c>
      <c r="H116" s="3" t="s">
        <v>376</v>
      </c>
      <c r="I116" s="3" t="s">
        <v>462</v>
      </c>
      <c r="J116" s="4" t="s">
        <v>378</v>
      </c>
      <c r="K116" s="12" t="s">
        <v>776</v>
      </c>
      <c r="L116" s="12" t="s">
        <v>777</v>
      </c>
      <c r="M116" s="12" t="s">
        <v>778</v>
      </c>
      <c r="N116" s="12" t="s">
        <v>622</v>
      </c>
      <c r="O116" s="12" t="s">
        <v>623</v>
      </c>
      <c r="P116" s="12" t="s">
        <v>779</v>
      </c>
      <c r="Q116" s="12" t="s">
        <v>780</v>
      </c>
      <c r="R116" s="13">
        <f t="shared" si="2"/>
        <v>39.659999999999997</v>
      </c>
      <c r="S116" s="13">
        <f t="shared" si="3"/>
        <v>58.22146232193996</v>
      </c>
      <c r="T116" s="14" t="s">
        <v>648</v>
      </c>
      <c r="U116" s="15" t="s">
        <v>618</v>
      </c>
    </row>
    <row r="117" spans="1:21" ht="15.75" thickBot="1" x14ac:dyDescent="0.3">
      <c r="A117" s="5" t="s">
        <v>29</v>
      </c>
      <c r="B117" s="5" t="s">
        <v>29</v>
      </c>
      <c r="C117" s="5" t="s">
        <v>86</v>
      </c>
      <c r="D117" s="5" t="s">
        <v>88</v>
      </c>
      <c r="E117" s="5" t="s">
        <v>87</v>
      </c>
      <c r="F117" s="5" t="s">
        <v>29</v>
      </c>
      <c r="G117" s="5" t="s">
        <v>425</v>
      </c>
      <c r="H117" s="5" t="s">
        <v>85</v>
      </c>
      <c r="I117" s="5" t="s">
        <v>92</v>
      </c>
      <c r="J117" s="6" t="s">
        <v>93</v>
      </c>
      <c r="K117" s="12" t="s">
        <v>781</v>
      </c>
      <c r="L117" s="12" t="s">
        <v>782</v>
      </c>
      <c r="M117" s="12" t="s">
        <v>783</v>
      </c>
      <c r="N117" s="12" t="s">
        <v>784</v>
      </c>
      <c r="O117" s="12" t="s">
        <v>785</v>
      </c>
      <c r="P117" s="12" t="s">
        <v>786</v>
      </c>
      <c r="Q117" s="12" t="s">
        <v>625</v>
      </c>
      <c r="R117" s="13">
        <f t="shared" si="2"/>
        <v>39.659999999999997</v>
      </c>
      <c r="S117" s="13">
        <f t="shared" si="3"/>
        <v>58.738800939362271</v>
      </c>
      <c r="T117" s="14" t="s">
        <v>626</v>
      </c>
      <c r="U117" s="15" t="s">
        <v>618</v>
      </c>
    </row>
    <row r="118" spans="1:21" ht="15.75" thickBot="1" x14ac:dyDescent="0.3">
      <c r="A118" s="7" t="s">
        <v>381</v>
      </c>
      <c r="B118" s="3" t="s">
        <v>381</v>
      </c>
      <c r="C118" s="3" t="s">
        <v>297</v>
      </c>
      <c r="D118" s="3" t="s">
        <v>529</v>
      </c>
      <c r="E118" s="3" t="s">
        <v>382</v>
      </c>
      <c r="F118" s="3" t="s">
        <v>380</v>
      </c>
      <c r="G118" s="3" t="s">
        <v>530</v>
      </c>
      <c r="H118" s="3" t="s">
        <v>384</v>
      </c>
      <c r="I118" s="3" t="s">
        <v>531</v>
      </c>
      <c r="J118" s="4" t="s">
        <v>386</v>
      </c>
      <c r="K118" s="12" t="s">
        <v>787</v>
      </c>
      <c r="L118" s="12" t="s">
        <v>788</v>
      </c>
      <c r="M118" s="12" t="s">
        <v>789</v>
      </c>
      <c r="N118" s="12" t="s">
        <v>790</v>
      </c>
      <c r="O118" s="12" t="s">
        <v>791</v>
      </c>
      <c r="P118" s="12" t="s">
        <v>792</v>
      </c>
      <c r="Q118" s="12" t="s">
        <v>693</v>
      </c>
      <c r="R118" s="13">
        <f t="shared" si="2"/>
        <v>39.659999999999997</v>
      </c>
      <c r="S118" s="13">
        <f t="shared" si="3"/>
        <v>58.425911059072973</v>
      </c>
      <c r="T118" s="14" t="s">
        <v>678</v>
      </c>
      <c r="U118" s="15" t="s">
        <v>618</v>
      </c>
    </row>
    <row r="119" spans="1:21" ht="15.75" thickBot="1" x14ac:dyDescent="0.3">
      <c r="A119" s="5" t="s">
        <v>97</v>
      </c>
      <c r="B119" s="5" t="s">
        <v>98</v>
      </c>
      <c r="C119" s="5" t="s">
        <v>28</v>
      </c>
      <c r="D119" s="5" t="s">
        <v>100</v>
      </c>
      <c r="E119" s="5" t="s">
        <v>99</v>
      </c>
      <c r="F119" s="5" t="s">
        <v>97</v>
      </c>
      <c r="G119" s="5" t="s">
        <v>532</v>
      </c>
      <c r="H119" s="5" t="s">
        <v>533</v>
      </c>
      <c r="I119" s="5" t="s">
        <v>103</v>
      </c>
      <c r="J119" s="6" t="s">
        <v>104</v>
      </c>
      <c r="K119" s="12" t="s">
        <v>793</v>
      </c>
      <c r="L119" s="12" t="s">
        <v>794</v>
      </c>
      <c r="M119" s="12" t="s">
        <v>795</v>
      </c>
      <c r="N119" s="12" t="s">
        <v>770</v>
      </c>
      <c r="O119" s="12" t="s">
        <v>796</v>
      </c>
      <c r="P119" s="12" t="s">
        <v>156</v>
      </c>
      <c r="Q119" s="12" t="s">
        <v>710</v>
      </c>
      <c r="R119" s="13">
        <f t="shared" si="2"/>
        <v>39.659999999999997</v>
      </c>
      <c r="S119" s="13">
        <f t="shared" si="3"/>
        <v>58.425911059072973</v>
      </c>
      <c r="T119" s="14" t="s">
        <v>678</v>
      </c>
      <c r="U119" s="15" t="s">
        <v>618</v>
      </c>
    </row>
    <row r="120" spans="1:21" ht="15.75" thickBot="1" x14ac:dyDescent="0.3">
      <c r="A120" s="3" t="s">
        <v>105</v>
      </c>
      <c r="B120" s="3" t="s">
        <v>106</v>
      </c>
      <c r="C120" s="3" t="s">
        <v>107</v>
      </c>
      <c r="D120" s="3" t="s">
        <v>109</v>
      </c>
      <c r="E120" s="3" t="s">
        <v>108</v>
      </c>
      <c r="F120" s="3" t="s">
        <v>106</v>
      </c>
      <c r="G120" s="3" t="s">
        <v>534</v>
      </c>
      <c r="H120" s="3" t="s">
        <v>535</v>
      </c>
      <c r="I120" s="3" t="s">
        <v>112</v>
      </c>
      <c r="J120" s="4" t="s">
        <v>113</v>
      </c>
      <c r="K120" s="12" t="s">
        <v>797</v>
      </c>
      <c r="L120" s="12" t="s">
        <v>798</v>
      </c>
      <c r="M120" s="12" t="s">
        <v>799</v>
      </c>
      <c r="N120" s="12" t="s">
        <v>800</v>
      </c>
      <c r="O120" s="12" t="s">
        <v>801</v>
      </c>
      <c r="P120" s="12" t="s">
        <v>182</v>
      </c>
      <c r="Q120" s="12" t="s">
        <v>632</v>
      </c>
      <c r="R120" s="13">
        <f t="shared" si="2"/>
        <v>39.659999999999997</v>
      </c>
      <c r="S120" s="13">
        <f t="shared" si="3"/>
        <v>58.529365430533737</v>
      </c>
      <c r="T120" s="14" t="s">
        <v>640</v>
      </c>
      <c r="U120" s="15" t="s">
        <v>618</v>
      </c>
    </row>
    <row r="121" spans="1:21" ht="15.75" thickBot="1" x14ac:dyDescent="0.3">
      <c r="A121" s="5" t="s">
        <v>22</v>
      </c>
      <c r="B121" s="5" t="s">
        <v>22</v>
      </c>
      <c r="C121" s="5" t="s">
        <v>536</v>
      </c>
      <c r="D121" s="5" t="s">
        <v>430</v>
      </c>
      <c r="E121" s="5" t="s">
        <v>429</v>
      </c>
      <c r="F121" s="5" t="s">
        <v>22</v>
      </c>
      <c r="G121" s="5" t="s">
        <v>432</v>
      </c>
      <c r="H121" s="5" t="s">
        <v>477</v>
      </c>
      <c r="I121" s="5" t="s">
        <v>367</v>
      </c>
      <c r="J121" s="6" t="s">
        <v>537</v>
      </c>
      <c r="K121" s="12" t="s">
        <v>802</v>
      </c>
      <c r="L121" s="12" t="s">
        <v>803</v>
      </c>
      <c r="M121" s="12" t="s">
        <v>804</v>
      </c>
      <c r="N121" s="12" t="s">
        <v>671</v>
      </c>
      <c r="O121" s="12" t="s">
        <v>435</v>
      </c>
      <c r="P121" s="12" t="s">
        <v>805</v>
      </c>
      <c r="Q121" s="12" t="s">
        <v>632</v>
      </c>
      <c r="R121" s="13">
        <f t="shared" si="2"/>
        <v>39.659999999999997</v>
      </c>
      <c r="S121" s="13">
        <f t="shared" si="3"/>
        <v>58.323281033991577</v>
      </c>
      <c r="T121" s="14" t="s">
        <v>633</v>
      </c>
      <c r="U121" s="15" t="s">
        <v>618</v>
      </c>
    </row>
    <row r="122" spans="1:21" ht="15.75" thickBot="1" x14ac:dyDescent="0.3">
      <c r="A122" s="3" t="s">
        <v>526</v>
      </c>
      <c r="B122" s="3" t="s">
        <v>526</v>
      </c>
      <c r="C122" s="3" t="s">
        <v>261</v>
      </c>
      <c r="D122" s="3" t="s">
        <v>331</v>
      </c>
      <c r="E122" s="3" t="s">
        <v>331</v>
      </c>
      <c r="F122" s="3" t="s">
        <v>329</v>
      </c>
      <c r="G122" s="3" t="s">
        <v>527</v>
      </c>
      <c r="H122" s="3" t="s">
        <v>538</v>
      </c>
      <c r="I122" s="3" t="s">
        <v>333</v>
      </c>
      <c r="J122" s="4" t="s">
        <v>334</v>
      </c>
      <c r="K122" s="12" t="s">
        <v>806</v>
      </c>
      <c r="L122" s="12" t="s">
        <v>807</v>
      </c>
      <c r="M122" s="12" t="s">
        <v>808</v>
      </c>
      <c r="N122" s="12" t="s">
        <v>809</v>
      </c>
      <c r="O122" s="12" t="s">
        <v>810</v>
      </c>
      <c r="P122" s="12" t="s">
        <v>811</v>
      </c>
      <c r="Q122" s="12" t="s">
        <v>812</v>
      </c>
      <c r="R122" s="13">
        <f t="shared" si="2"/>
        <v>39.659999999999997</v>
      </c>
      <c r="S122" s="13">
        <f t="shared" si="3"/>
        <v>58.425911059072973</v>
      </c>
      <c r="T122" s="14" t="s">
        <v>678</v>
      </c>
      <c r="U122" s="15" t="s">
        <v>618</v>
      </c>
    </row>
    <row r="123" spans="1:21" ht="15.75" thickBot="1" x14ac:dyDescent="0.3">
      <c r="A123" s="5" t="s">
        <v>469</v>
      </c>
      <c r="B123" s="5" t="s">
        <v>473</v>
      </c>
      <c r="C123" s="5" t="s">
        <v>17</v>
      </c>
      <c r="D123" s="5" t="s">
        <v>472</v>
      </c>
      <c r="E123" s="5" t="s">
        <v>472</v>
      </c>
      <c r="F123" s="5" t="s">
        <v>469</v>
      </c>
      <c r="G123" s="5" t="s">
        <v>474</v>
      </c>
      <c r="H123" s="5" t="s">
        <v>475</v>
      </c>
      <c r="I123" s="5" t="s">
        <v>268</v>
      </c>
      <c r="J123" s="6" t="s">
        <v>257</v>
      </c>
      <c r="K123" s="12" t="s">
        <v>813</v>
      </c>
      <c r="L123" s="12" t="s">
        <v>814</v>
      </c>
      <c r="M123" s="12" t="s">
        <v>815</v>
      </c>
      <c r="N123" s="12" t="s">
        <v>682</v>
      </c>
      <c r="O123" s="12" t="s">
        <v>517</v>
      </c>
      <c r="P123" s="12" t="s">
        <v>556</v>
      </c>
      <c r="Q123" s="12" t="s">
        <v>727</v>
      </c>
      <c r="R123" s="13">
        <f t="shared" si="2"/>
        <v>39.659999999999997</v>
      </c>
      <c r="S123" s="13">
        <f t="shared" si="3"/>
        <v>58.22146232193996</v>
      </c>
      <c r="T123" s="14" t="s">
        <v>648</v>
      </c>
      <c r="U123" s="15" t="s">
        <v>618</v>
      </c>
    </row>
    <row r="124" spans="1:21" ht="15.75" thickBot="1" x14ac:dyDescent="0.3">
      <c r="A124" s="3" t="s">
        <v>539</v>
      </c>
      <c r="B124" s="3" t="s">
        <v>540</v>
      </c>
      <c r="C124" s="3" t="s">
        <v>130</v>
      </c>
      <c r="D124" s="3" t="s">
        <v>514</v>
      </c>
      <c r="E124" s="3" t="s">
        <v>514</v>
      </c>
      <c r="F124" s="3" t="s">
        <v>540</v>
      </c>
      <c r="G124" s="3" t="s">
        <v>259</v>
      </c>
      <c r="H124" s="3" t="s">
        <v>541</v>
      </c>
      <c r="I124" s="3" t="s">
        <v>542</v>
      </c>
      <c r="J124" s="4" t="s">
        <v>543</v>
      </c>
      <c r="K124" s="12" t="s">
        <v>816</v>
      </c>
      <c r="L124" s="12" t="s">
        <v>817</v>
      </c>
      <c r="M124" s="12" t="s">
        <v>818</v>
      </c>
      <c r="N124" s="12" t="s">
        <v>200</v>
      </c>
      <c r="O124" s="12">
        <v>8</v>
      </c>
      <c r="P124" s="12" t="s">
        <v>819</v>
      </c>
      <c r="Q124" s="12" t="s">
        <v>660</v>
      </c>
      <c r="R124" s="13">
        <f t="shared" si="2"/>
        <v>39.659999999999997</v>
      </c>
      <c r="S124" s="13">
        <f t="shared" si="3"/>
        <v>58.323281033991577</v>
      </c>
      <c r="T124" s="14" t="s">
        <v>633</v>
      </c>
      <c r="U124" s="15" t="s">
        <v>618</v>
      </c>
    </row>
    <row r="125" spans="1:21" ht="15.75" thickBot="1" x14ac:dyDescent="0.3">
      <c r="A125" s="5" t="s">
        <v>278</v>
      </c>
      <c r="B125" s="5" t="s">
        <v>278</v>
      </c>
      <c r="C125" s="5" t="s">
        <v>377</v>
      </c>
      <c r="D125" s="5" t="s">
        <v>427</v>
      </c>
      <c r="E125" s="5" t="s">
        <v>427</v>
      </c>
      <c r="F125" s="5" t="s">
        <v>278</v>
      </c>
      <c r="G125" s="5" t="s">
        <v>428</v>
      </c>
      <c r="H125" s="5" t="s">
        <v>544</v>
      </c>
      <c r="I125" s="5" t="s">
        <v>511</v>
      </c>
      <c r="J125" s="6" t="s">
        <v>95</v>
      </c>
      <c r="K125" s="12" t="s">
        <v>820</v>
      </c>
      <c r="L125" s="12" t="s">
        <v>821</v>
      </c>
      <c r="M125" s="12" t="s">
        <v>822</v>
      </c>
      <c r="N125" s="12" t="s">
        <v>823</v>
      </c>
      <c r="O125" s="12" t="s">
        <v>824</v>
      </c>
      <c r="P125" s="12" t="s">
        <v>825</v>
      </c>
      <c r="Q125" s="12" t="s">
        <v>826</v>
      </c>
      <c r="R125" s="13">
        <f t="shared" si="2"/>
        <v>39.659999999999997</v>
      </c>
      <c r="S125" s="13">
        <f t="shared" si="3"/>
        <v>58.425911059072973</v>
      </c>
      <c r="T125" s="14" t="s">
        <v>678</v>
      </c>
      <c r="U125" s="15" t="s">
        <v>618</v>
      </c>
    </row>
    <row r="126" spans="1:21" ht="15.75" thickBot="1" x14ac:dyDescent="0.3">
      <c r="A126" s="3" t="s">
        <v>89</v>
      </c>
      <c r="B126" s="3" t="s">
        <v>89</v>
      </c>
      <c r="C126" s="3" t="s">
        <v>387</v>
      </c>
      <c r="D126" s="3" t="s">
        <v>87</v>
      </c>
      <c r="E126" s="3" t="s">
        <v>87</v>
      </c>
      <c r="F126" s="3" t="s">
        <v>29</v>
      </c>
      <c r="G126" s="3" t="s">
        <v>425</v>
      </c>
      <c r="H126" s="3" t="s">
        <v>91</v>
      </c>
      <c r="I126" s="3" t="s">
        <v>426</v>
      </c>
      <c r="J126" s="4" t="s">
        <v>388</v>
      </c>
      <c r="K126" s="12" t="s">
        <v>827</v>
      </c>
      <c r="L126" s="12" t="s">
        <v>828</v>
      </c>
      <c r="M126" s="12" t="s">
        <v>829</v>
      </c>
      <c r="N126" s="12" t="s">
        <v>462</v>
      </c>
      <c r="O126" s="12" t="s">
        <v>830</v>
      </c>
      <c r="P126" s="12" t="s">
        <v>183</v>
      </c>
      <c r="Q126" s="12" t="s">
        <v>704</v>
      </c>
      <c r="R126" s="13">
        <f t="shared" si="2"/>
        <v>39.659999999999997</v>
      </c>
      <c r="S126" s="13">
        <f t="shared" si="3"/>
        <v>58.020208227348277</v>
      </c>
      <c r="T126" s="14" t="s">
        <v>705</v>
      </c>
      <c r="U126" s="15" t="s">
        <v>618</v>
      </c>
    </row>
    <row r="127" spans="1:21" ht="15.75" thickBot="1" x14ac:dyDescent="0.3">
      <c r="A127" s="5" t="s">
        <v>67</v>
      </c>
      <c r="B127" s="5" t="s">
        <v>434</v>
      </c>
      <c r="C127" s="5" t="s">
        <v>389</v>
      </c>
      <c r="D127" s="5" t="s">
        <v>390</v>
      </c>
      <c r="E127" s="5" t="s">
        <v>390</v>
      </c>
      <c r="F127" s="5" t="s">
        <v>67</v>
      </c>
      <c r="G127" s="5" t="s">
        <v>436</v>
      </c>
      <c r="H127" s="5" t="s">
        <v>392</v>
      </c>
      <c r="I127" s="5" t="s">
        <v>545</v>
      </c>
      <c r="J127" s="6" t="s">
        <v>394</v>
      </c>
      <c r="K127" s="12" t="s">
        <v>831</v>
      </c>
      <c r="L127" s="12" t="s">
        <v>832</v>
      </c>
      <c r="M127" s="12">
        <v>52</v>
      </c>
      <c r="N127" s="12" t="s">
        <v>833</v>
      </c>
      <c r="O127" s="12" t="s">
        <v>834</v>
      </c>
      <c r="P127" s="12" t="s">
        <v>379</v>
      </c>
      <c r="Q127" s="12" t="s">
        <v>710</v>
      </c>
      <c r="R127" s="13">
        <f t="shared" si="2"/>
        <v>39.659999999999997</v>
      </c>
      <c r="S127" s="13">
        <f t="shared" si="3"/>
        <v>58.529365430533737</v>
      </c>
      <c r="T127" s="14" t="s">
        <v>640</v>
      </c>
      <c r="U127" s="15" t="s">
        <v>618</v>
      </c>
    </row>
    <row r="128" spans="1:21" ht="15.75" thickBot="1" x14ac:dyDescent="0.3">
      <c r="A128" s="3" t="s">
        <v>431</v>
      </c>
      <c r="B128" s="3" t="s">
        <v>22</v>
      </c>
      <c r="C128" s="3" t="s">
        <v>536</v>
      </c>
      <c r="D128" s="3" t="s">
        <v>429</v>
      </c>
      <c r="E128" s="3" t="s">
        <v>429</v>
      </c>
      <c r="F128" s="3" t="s">
        <v>22</v>
      </c>
      <c r="G128" s="3" t="s">
        <v>432</v>
      </c>
      <c r="H128" s="3" t="s">
        <v>257</v>
      </c>
      <c r="I128" s="3" t="s">
        <v>47</v>
      </c>
      <c r="J128" s="4" t="s">
        <v>537</v>
      </c>
      <c r="K128" s="12" t="s">
        <v>835</v>
      </c>
      <c r="L128" s="12" t="s">
        <v>836</v>
      </c>
      <c r="M128" s="12" t="s">
        <v>837</v>
      </c>
      <c r="N128" s="12" t="s">
        <v>838</v>
      </c>
      <c r="O128" s="12" t="s">
        <v>839</v>
      </c>
      <c r="P128" s="12" t="s">
        <v>840</v>
      </c>
      <c r="Q128" s="12" t="s">
        <v>765</v>
      </c>
      <c r="R128" s="13">
        <f t="shared" si="2"/>
        <v>39.659999999999997</v>
      </c>
      <c r="S128" s="13">
        <f t="shared" si="3"/>
        <v>58.22146232193996</v>
      </c>
      <c r="T128" s="14" t="s">
        <v>648</v>
      </c>
      <c r="U128" s="15" t="s">
        <v>618</v>
      </c>
    </row>
    <row r="129" spans="1:21" ht="15.75" thickBot="1" x14ac:dyDescent="0.3">
      <c r="A129" s="5" t="s">
        <v>285</v>
      </c>
      <c r="B129" s="5" t="s">
        <v>285</v>
      </c>
      <c r="C129" s="5" t="s">
        <v>81</v>
      </c>
      <c r="D129" s="5" t="s">
        <v>546</v>
      </c>
      <c r="E129" s="5" t="s">
        <v>546</v>
      </c>
      <c r="F129" s="5" t="s">
        <v>285</v>
      </c>
      <c r="G129" s="5" t="s">
        <v>520</v>
      </c>
      <c r="H129" s="5" t="s">
        <v>547</v>
      </c>
      <c r="I129" s="5" t="s">
        <v>237</v>
      </c>
      <c r="J129" s="6" t="s">
        <v>548</v>
      </c>
      <c r="K129" s="12" t="s">
        <v>841</v>
      </c>
      <c r="L129" s="12" t="s">
        <v>842</v>
      </c>
      <c r="M129" s="12" t="s">
        <v>843</v>
      </c>
      <c r="N129" s="12" t="s">
        <v>844</v>
      </c>
      <c r="O129" s="12" t="s">
        <v>845</v>
      </c>
      <c r="P129" s="12" t="s">
        <v>846</v>
      </c>
      <c r="Q129" s="12" t="s">
        <v>654</v>
      </c>
      <c r="R129" s="13">
        <f t="shared" si="2"/>
        <v>39.659999999999997</v>
      </c>
      <c r="S129" s="13">
        <f t="shared" si="3"/>
        <v>58.529365430533737</v>
      </c>
      <c r="T129" s="14" t="s">
        <v>640</v>
      </c>
      <c r="U129" s="15" t="s">
        <v>618</v>
      </c>
    </row>
    <row r="130" spans="1:21" ht="15.75" thickBot="1" x14ac:dyDescent="0.3">
      <c r="A130" s="3" t="s">
        <v>549</v>
      </c>
      <c r="B130" s="3" t="s">
        <v>550</v>
      </c>
      <c r="C130" s="3" t="s">
        <v>551</v>
      </c>
      <c r="D130" s="3" t="s">
        <v>552</v>
      </c>
      <c r="E130" s="3" t="s">
        <v>552</v>
      </c>
      <c r="F130" s="3" t="s">
        <v>550</v>
      </c>
      <c r="G130" s="3" t="s">
        <v>524</v>
      </c>
      <c r="H130" s="3" t="s">
        <v>553</v>
      </c>
      <c r="I130" s="3" t="s">
        <v>554</v>
      </c>
      <c r="J130" s="4" t="s">
        <v>555</v>
      </c>
      <c r="K130" s="12" t="s">
        <v>847</v>
      </c>
      <c r="L130" s="12" t="s">
        <v>848</v>
      </c>
      <c r="M130" s="12" t="s">
        <v>849</v>
      </c>
      <c r="N130" s="12" t="s">
        <v>850</v>
      </c>
      <c r="O130" s="12" t="s">
        <v>391</v>
      </c>
      <c r="P130" s="12" t="s">
        <v>851</v>
      </c>
      <c r="Q130" s="12" t="s">
        <v>716</v>
      </c>
      <c r="R130" s="13">
        <f t="shared" si="2"/>
        <v>39.659999999999997</v>
      </c>
      <c r="S130" s="13">
        <f t="shared" si="3"/>
        <v>58.22146232193996</v>
      </c>
      <c r="T130" s="14" t="s">
        <v>648</v>
      </c>
      <c r="U130" s="15" t="s">
        <v>618</v>
      </c>
    </row>
    <row r="131" spans="1:21" ht="15.75" thickBot="1" x14ac:dyDescent="0.3">
      <c r="A131" s="5" t="s">
        <v>556</v>
      </c>
      <c r="B131" s="5" t="s">
        <v>490</v>
      </c>
      <c r="C131" s="5" t="s">
        <v>275</v>
      </c>
      <c r="D131" s="5" t="s">
        <v>452</v>
      </c>
      <c r="E131" s="5" t="s">
        <v>452</v>
      </c>
      <c r="F131" s="5" t="s">
        <v>490</v>
      </c>
      <c r="G131" s="5" t="s">
        <v>272</v>
      </c>
      <c r="H131" s="5" t="s">
        <v>557</v>
      </c>
      <c r="I131" s="5" t="s">
        <v>279</v>
      </c>
      <c r="J131" s="6" t="s">
        <v>558</v>
      </c>
      <c r="K131" s="12" t="s">
        <v>852</v>
      </c>
      <c r="L131" s="12">
        <v>85</v>
      </c>
      <c r="M131" s="12" t="s">
        <v>853</v>
      </c>
      <c r="N131" s="12" t="s">
        <v>249</v>
      </c>
      <c r="O131" s="12" t="s">
        <v>76</v>
      </c>
      <c r="P131" s="12" t="s">
        <v>53</v>
      </c>
      <c r="Q131" s="12" t="s">
        <v>854</v>
      </c>
      <c r="R131" s="13">
        <f t="shared" ref="R131:R149" si="4">-0.167*U131*1000+184.95</f>
        <v>39.659999999999997</v>
      </c>
      <c r="S131" s="13">
        <f t="shared" ref="S131:S149" si="5">-12.88*LN(T131)+61.3</f>
        <v>58.738800939362271</v>
      </c>
      <c r="T131" s="14" t="s">
        <v>626</v>
      </c>
      <c r="U131" s="15" t="s">
        <v>618</v>
      </c>
    </row>
    <row r="132" spans="1:21" ht="15.75" thickBot="1" x14ac:dyDescent="0.3">
      <c r="A132" s="3" t="s">
        <v>550</v>
      </c>
      <c r="B132" s="3" t="s">
        <v>549</v>
      </c>
      <c r="C132" s="3" t="s">
        <v>551</v>
      </c>
      <c r="D132" s="3" t="s">
        <v>552</v>
      </c>
      <c r="E132" s="3" t="s">
        <v>552</v>
      </c>
      <c r="F132" s="3" t="s">
        <v>550</v>
      </c>
      <c r="G132" s="3" t="s">
        <v>524</v>
      </c>
      <c r="H132" s="3" t="s">
        <v>553</v>
      </c>
      <c r="I132" s="3" t="s">
        <v>554</v>
      </c>
      <c r="J132" s="4" t="s">
        <v>555</v>
      </c>
      <c r="K132" s="12" t="s">
        <v>855</v>
      </c>
      <c r="L132" s="12" t="s">
        <v>848</v>
      </c>
      <c r="M132" s="12" t="s">
        <v>856</v>
      </c>
      <c r="N132" s="12" t="s">
        <v>850</v>
      </c>
      <c r="O132" s="12" t="s">
        <v>391</v>
      </c>
      <c r="P132" s="12" t="s">
        <v>851</v>
      </c>
      <c r="Q132" s="12" t="s">
        <v>812</v>
      </c>
      <c r="R132" s="13">
        <f t="shared" si="4"/>
        <v>39.659999999999997</v>
      </c>
      <c r="S132" s="13">
        <f t="shared" si="5"/>
        <v>58.425911059072973</v>
      </c>
      <c r="T132" s="14" t="s">
        <v>678</v>
      </c>
      <c r="U132" s="15" t="s">
        <v>618</v>
      </c>
    </row>
    <row r="133" spans="1:21" ht="15.75" thickBot="1" x14ac:dyDescent="0.3">
      <c r="A133" s="5" t="s">
        <v>490</v>
      </c>
      <c r="B133" s="5" t="s">
        <v>556</v>
      </c>
      <c r="C133" s="5" t="s">
        <v>275</v>
      </c>
      <c r="D133" s="5" t="s">
        <v>452</v>
      </c>
      <c r="E133" s="5" t="s">
        <v>452</v>
      </c>
      <c r="F133" s="5" t="s">
        <v>490</v>
      </c>
      <c r="G133" s="5" t="s">
        <v>272</v>
      </c>
      <c r="H133" s="5" t="s">
        <v>557</v>
      </c>
      <c r="I133" s="5" t="s">
        <v>279</v>
      </c>
      <c r="J133" s="6" t="s">
        <v>558</v>
      </c>
      <c r="K133" s="12" t="s">
        <v>857</v>
      </c>
      <c r="L133" s="12">
        <v>85</v>
      </c>
      <c r="M133" s="12" t="s">
        <v>858</v>
      </c>
      <c r="N133" s="12" t="s">
        <v>249</v>
      </c>
      <c r="O133" s="12" t="s">
        <v>76</v>
      </c>
      <c r="P133" s="12" t="s">
        <v>53</v>
      </c>
      <c r="Q133" s="12" t="s">
        <v>826</v>
      </c>
      <c r="R133" s="13">
        <f t="shared" si="4"/>
        <v>39.659999999999997</v>
      </c>
      <c r="S133" s="13">
        <f t="shared" si="5"/>
        <v>58.529365430533737</v>
      </c>
      <c r="T133" s="14" t="s">
        <v>640</v>
      </c>
      <c r="U133" s="15" t="s">
        <v>618</v>
      </c>
    </row>
    <row r="134" spans="1:21" ht="15.75" thickBot="1" x14ac:dyDescent="0.3">
      <c r="A134" s="3" t="s">
        <v>559</v>
      </c>
      <c r="B134" s="3" t="s">
        <v>559</v>
      </c>
      <c r="C134" s="3" t="s">
        <v>560</v>
      </c>
      <c r="D134" s="3" t="s">
        <v>296</v>
      </c>
      <c r="E134" s="3" t="s">
        <v>296</v>
      </c>
      <c r="F134" s="3" t="s">
        <v>559</v>
      </c>
      <c r="G134" s="3" t="s">
        <v>561</v>
      </c>
      <c r="H134" s="3" t="s">
        <v>562</v>
      </c>
      <c r="I134" s="3" t="s">
        <v>408</v>
      </c>
      <c r="J134" s="4" t="s">
        <v>563</v>
      </c>
      <c r="K134" s="12" t="s">
        <v>859</v>
      </c>
      <c r="L134" s="12" t="s">
        <v>860</v>
      </c>
      <c r="M134" s="12" t="s">
        <v>861</v>
      </c>
      <c r="N134" s="12" t="s">
        <v>638</v>
      </c>
      <c r="O134" s="12" t="s">
        <v>715</v>
      </c>
      <c r="P134" s="12" t="s">
        <v>844</v>
      </c>
      <c r="Q134" s="12" t="s">
        <v>765</v>
      </c>
      <c r="R134" s="13">
        <f t="shared" si="4"/>
        <v>39.659999999999997</v>
      </c>
      <c r="S134" s="13">
        <f t="shared" si="5"/>
        <v>58.425911059072973</v>
      </c>
      <c r="T134" s="14" t="s">
        <v>678</v>
      </c>
      <c r="U134" s="15" t="s">
        <v>618</v>
      </c>
    </row>
    <row r="135" spans="1:21" ht="15.75" thickBot="1" x14ac:dyDescent="0.3">
      <c r="A135" s="5" t="s">
        <v>564</v>
      </c>
      <c r="B135" s="5" t="s">
        <v>564</v>
      </c>
      <c r="C135" s="5" t="s">
        <v>344</v>
      </c>
      <c r="D135" s="5" t="s">
        <v>565</v>
      </c>
      <c r="E135" s="5" t="s">
        <v>565</v>
      </c>
      <c r="F135" s="5" t="s">
        <v>564</v>
      </c>
      <c r="G135" s="5" t="s">
        <v>566</v>
      </c>
      <c r="H135" s="5" t="s">
        <v>567</v>
      </c>
      <c r="I135" s="5" t="s">
        <v>568</v>
      </c>
      <c r="J135" s="6" t="s">
        <v>569</v>
      </c>
      <c r="K135" s="12" t="s">
        <v>862</v>
      </c>
      <c r="L135" s="12" t="s">
        <v>863</v>
      </c>
      <c r="M135" s="12" t="s">
        <v>864</v>
      </c>
      <c r="N135" s="12" t="s">
        <v>865</v>
      </c>
      <c r="O135" s="12" t="s">
        <v>866</v>
      </c>
      <c r="P135" s="12" t="s">
        <v>672</v>
      </c>
      <c r="Q135" s="12" t="s">
        <v>710</v>
      </c>
      <c r="R135" s="13">
        <f t="shared" si="4"/>
        <v>39.659999999999997</v>
      </c>
      <c r="S135" s="13">
        <f t="shared" si="5"/>
        <v>58.529365430533737</v>
      </c>
      <c r="T135" s="14" t="s">
        <v>640</v>
      </c>
      <c r="U135" s="15" t="s">
        <v>618</v>
      </c>
    </row>
    <row r="136" spans="1:21" ht="15.75" thickBot="1" x14ac:dyDescent="0.3">
      <c r="A136" s="3" t="s">
        <v>570</v>
      </c>
      <c r="B136" s="3" t="s">
        <v>570</v>
      </c>
      <c r="C136" s="3" t="s">
        <v>441</v>
      </c>
      <c r="D136" s="3" t="s">
        <v>549</v>
      </c>
      <c r="E136" s="3" t="s">
        <v>571</v>
      </c>
      <c r="F136" s="3" t="s">
        <v>570</v>
      </c>
      <c r="G136" s="3" t="s">
        <v>572</v>
      </c>
      <c r="H136" s="3" t="s">
        <v>573</v>
      </c>
      <c r="I136" s="3" t="s">
        <v>342</v>
      </c>
      <c r="J136" s="4" t="s">
        <v>574</v>
      </c>
      <c r="K136" s="12" t="s">
        <v>867</v>
      </c>
      <c r="L136" s="12" t="s">
        <v>868</v>
      </c>
      <c r="M136" s="12" t="s">
        <v>869</v>
      </c>
      <c r="N136" s="12" t="s">
        <v>441</v>
      </c>
      <c r="O136" s="12" t="s">
        <v>870</v>
      </c>
      <c r="P136" s="12" t="s">
        <v>811</v>
      </c>
      <c r="Q136" s="12" t="s">
        <v>632</v>
      </c>
      <c r="R136" s="13">
        <f t="shared" si="4"/>
        <v>39.659999999999997</v>
      </c>
      <c r="S136" s="13">
        <f t="shared" si="5"/>
        <v>58.633657498329875</v>
      </c>
      <c r="T136" s="14" t="s">
        <v>667</v>
      </c>
      <c r="U136" s="15" t="s">
        <v>618</v>
      </c>
    </row>
    <row r="137" spans="1:21" ht="15.75" thickBot="1" x14ac:dyDescent="0.3">
      <c r="A137" s="5" t="s">
        <v>542</v>
      </c>
      <c r="B137" s="5" t="s">
        <v>542</v>
      </c>
      <c r="C137" s="5" t="s">
        <v>575</v>
      </c>
      <c r="D137" s="5" t="s">
        <v>82</v>
      </c>
      <c r="E137" s="5" t="s">
        <v>576</v>
      </c>
      <c r="F137" s="5" t="s">
        <v>542</v>
      </c>
      <c r="G137" s="5" t="s">
        <v>577</v>
      </c>
      <c r="H137" s="5" t="s">
        <v>460</v>
      </c>
      <c r="I137" s="5" t="s">
        <v>146</v>
      </c>
      <c r="J137" s="6" t="s">
        <v>578</v>
      </c>
      <c r="K137" s="12" t="s">
        <v>757</v>
      </c>
      <c r="L137" s="12" t="s">
        <v>871</v>
      </c>
      <c r="M137" s="12" t="s">
        <v>872</v>
      </c>
      <c r="N137" s="12" t="s">
        <v>873</v>
      </c>
      <c r="O137" s="12" t="s">
        <v>874</v>
      </c>
      <c r="P137" s="12" t="s">
        <v>785</v>
      </c>
      <c r="Q137" s="12" t="s">
        <v>632</v>
      </c>
      <c r="R137" s="13">
        <f t="shared" si="4"/>
        <v>39.659999999999997</v>
      </c>
      <c r="S137" s="13">
        <f t="shared" si="5"/>
        <v>58.323281033991577</v>
      </c>
      <c r="T137" s="14" t="s">
        <v>633</v>
      </c>
      <c r="U137" s="15" t="s">
        <v>618</v>
      </c>
    </row>
    <row r="138" spans="1:21" ht="15.75" thickBot="1" x14ac:dyDescent="0.3">
      <c r="A138" s="3" t="s">
        <v>570</v>
      </c>
      <c r="B138" s="3" t="s">
        <v>570</v>
      </c>
      <c r="C138" s="3" t="s">
        <v>441</v>
      </c>
      <c r="D138" s="3" t="s">
        <v>571</v>
      </c>
      <c r="E138" s="3" t="s">
        <v>549</v>
      </c>
      <c r="F138" s="3" t="s">
        <v>570</v>
      </c>
      <c r="G138" s="3" t="s">
        <v>572</v>
      </c>
      <c r="H138" s="3" t="s">
        <v>573</v>
      </c>
      <c r="I138" s="3" t="s">
        <v>342</v>
      </c>
      <c r="J138" s="4" t="s">
        <v>574</v>
      </c>
      <c r="K138" s="12" t="s">
        <v>875</v>
      </c>
      <c r="L138" s="12" t="s">
        <v>876</v>
      </c>
      <c r="M138" s="12" t="s">
        <v>853</v>
      </c>
      <c r="N138" s="12" t="s">
        <v>877</v>
      </c>
      <c r="O138" s="12" t="s">
        <v>878</v>
      </c>
      <c r="P138" s="12" t="s">
        <v>811</v>
      </c>
      <c r="Q138" s="12" t="s">
        <v>660</v>
      </c>
      <c r="R138" s="13">
        <f t="shared" si="4"/>
        <v>39.659999999999997</v>
      </c>
      <c r="S138" s="13">
        <f t="shared" si="5"/>
        <v>58.323281033991577</v>
      </c>
      <c r="T138" s="14" t="s">
        <v>633</v>
      </c>
      <c r="U138" s="15" t="s">
        <v>618</v>
      </c>
    </row>
    <row r="139" spans="1:21" ht="15.75" thickBot="1" x14ac:dyDescent="0.3">
      <c r="A139" s="5" t="s">
        <v>542</v>
      </c>
      <c r="B139" s="5" t="s">
        <v>542</v>
      </c>
      <c r="C139" s="5" t="s">
        <v>575</v>
      </c>
      <c r="D139" s="5" t="s">
        <v>576</v>
      </c>
      <c r="E139" s="5" t="s">
        <v>82</v>
      </c>
      <c r="F139" s="5" t="s">
        <v>542</v>
      </c>
      <c r="G139" s="5" t="s">
        <v>577</v>
      </c>
      <c r="H139" s="5" t="s">
        <v>460</v>
      </c>
      <c r="I139" s="5" t="s">
        <v>146</v>
      </c>
      <c r="J139" s="6" t="s">
        <v>578</v>
      </c>
      <c r="K139" s="12" t="s">
        <v>879</v>
      </c>
      <c r="L139" s="12" t="s">
        <v>880</v>
      </c>
      <c r="M139" s="12" t="s">
        <v>755</v>
      </c>
      <c r="N139" s="12" t="s">
        <v>881</v>
      </c>
      <c r="O139" s="12" t="s">
        <v>882</v>
      </c>
      <c r="P139" s="12" t="s">
        <v>785</v>
      </c>
      <c r="Q139" s="12" t="s">
        <v>625</v>
      </c>
      <c r="R139" s="13">
        <f t="shared" si="4"/>
        <v>39.659999999999997</v>
      </c>
      <c r="S139" s="13">
        <f t="shared" si="5"/>
        <v>58.633657498329875</v>
      </c>
      <c r="T139" s="14" t="s">
        <v>667</v>
      </c>
      <c r="U139" s="15" t="s">
        <v>618</v>
      </c>
    </row>
    <row r="140" spans="1:21" ht="15.75" thickBot="1" x14ac:dyDescent="0.3">
      <c r="A140" s="3" t="s">
        <v>550</v>
      </c>
      <c r="B140" s="3" t="s">
        <v>550</v>
      </c>
      <c r="C140" s="3" t="s">
        <v>551</v>
      </c>
      <c r="D140" s="3" t="s">
        <v>552</v>
      </c>
      <c r="E140" s="3" t="s">
        <v>552</v>
      </c>
      <c r="F140" s="3" t="s">
        <v>549</v>
      </c>
      <c r="G140" s="3" t="s">
        <v>524</v>
      </c>
      <c r="H140" s="3" t="s">
        <v>553</v>
      </c>
      <c r="I140" s="3" t="s">
        <v>554</v>
      </c>
      <c r="J140" s="4" t="s">
        <v>555</v>
      </c>
      <c r="K140" s="12" t="s">
        <v>883</v>
      </c>
      <c r="L140" s="12" t="s">
        <v>848</v>
      </c>
      <c r="M140" s="12" t="s">
        <v>884</v>
      </c>
      <c r="N140" s="12" t="s">
        <v>850</v>
      </c>
      <c r="O140" s="12" t="s">
        <v>391</v>
      </c>
      <c r="P140" s="12" t="s">
        <v>851</v>
      </c>
      <c r="Q140" s="12" t="s">
        <v>710</v>
      </c>
      <c r="R140" s="13">
        <f t="shared" si="4"/>
        <v>39.659999999999997</v>
      </c>
      <c r="S140" s="13">
        <f t="shared" si="5"/>
        <v>58.633657498329875</v>
      </c>
      <c r="T140" s="14" t="s">
        <v>667</v>
      </c>
      <c r="U140" s="15" t="s">
        <v>618</v>
      </c>
    </row>
    <row r="141" spans="1:21" ht="15.75" thickBot="1" x14ac:dyDescent="0.3">
      <c r="A141" s="5" t="s">
        <v>490</v>
      </c>
      <c r="B141" s="5" t="s">
        <v>490</v>
      </c>
      <c r="C141" s="5" t="s">
        <v>275</v>
      </c>
      <c r="D141" s="5" t="s">
        <v>452</v>
      </c>
      <c r="E141" s="5" t="s">
        <v>452</v>
      </c>
      <c r="F141" s="5" t="s">
        <v>556</v>
      </c>
      <c r="G141" s="5" t="s">
        <v>272</v>
      </c>
      <c r="H141" s="5" t="s">
        <v>557</v>
      </c>
      <c r="I141" s="5" t="s">
        <v>279</v>
      </c>
      <c r="J141" s="6" t="s">
        <v>558</v>
      </c>
      <c r="K141" s="12" t="s">
        <v>737</v>
      </c>
      <c r="L141" s="12">
        <v>85</v>
      </c>
      <c r="M141" s="12" t="s">
        <v>885</v>
      </c>
      <c r="N141" s="12" t="s">
        <v>249</v>
      </c>
      <c r="O141" s="12" t="s">
        <v>76</v>
      </c>
      <c r="P141" s="12" t="s">
        <v>53</v>
      </c>
      <c r="Q141" s="12" t="s">
        <v>765</v>
      </c>
      <c r="R141" s="13">
        <f t="shared" si="4"/>
        <v>39.659999999999997</v>
      </c>
      <c r="S141" s="13">
        <f t="shared" si="5"/>
        <v>58.425911059072973</v>
      </c>
      <c r="T141" s="14" t="s">
        <v>678</v>
      </c>
      <c r="U141" s="15" t="s">
        <v>618</v>
      </c>
    </row>
    <row r="142" spans="1:21" ht="15.75" thickBot="1" x14ac:dyDescent="0.3">
      <c r="A142" s="3" t="s">
        <v>579</v>
      </c>
      <c r="B142" s="3" t="s">
        <v>579</v>
      </c>
      <c r="C142" s="3" t="s">
        <v>107</v>
      </c>
      <c r="D142" s="3" t="s">
        <v>580</v>
      </c>
      <c r="E142" s="3" t="s">
        <v>580</v>
      </c>
      <c r="F142" s="3" t="s">
        <v>579</v>
      </c>
      <c r="G142" s="3" t="s">
        <v>549</v>
      </c>
      <c r="H142" s="3" t="s">
        <v>581</v>
      </c>
      <c r="I142" s="3" t="s">
        <v>115</v>
      </c>
      <c r="J142" s="4" t="s">
        <v>318</v>
      </c>
      <c r="K142" s="12" t="s">
        <v>886</v>
      </c>
      <c r="L142" s="12" t="s">
        <v>887</v>
      </c>
      <c r="M142" s="12" t="s">
        <v>888</v>
      </c>
      <c r="N142" s="12" t="s">
        <v>889</v>
      </c>
      <c r="O142" s="12" t="s">
        <v>890</v>
      </c>
      <c r="P142" s="12" t="s">
        <v>891</v>
      </c>
      <c r="Q142" s="12" t="s">
        <v>892</v>
      </c>
      <c r="R142" s="13">
        <f t="shared" si="4"/>
        <v>39.659999999999997</v>
      </c>
      <c r="S142" s="13">
        <f t="shared" si="5"/>
        <v>58.951698348493863</v>
      </c>
      <c r="T142" s="14" t="s">
        <v>893</v>
      </c>
      <c r="U142" s="15" t="s">
        <v>618</v>
      </c>
    </row>
    <row r="143" spans="1:21" ht="15.75" thickBot="1" x14ac:dyDescent="0.3">
      <c r="A143" s="5" t="s">
        <v>356</v>
      </c>
      <c r="B143" s="5" t="s">
        <v>356</v>
      </c>
      <c r="C143" s="5" t="s">
        <v>316</v>
      </c>
      <c r="D143" s="5" t="s">
        <v>582</v>
      </c>
      <c r="E143" s="5" t="s">
        <v>582</v>
      </c>
      <c r="F143" s="5" t="s">
        <v>356</v>
      </c>
      <c r="G143" s="5" t="s">
        <v>193</v>
      </c>
      <c r="H143" s="5" t="s">
        <v>446</v>
      </c>
      <c r="I143" s="5" t="s">
        <v>139</v>
      </c>
      <c r="J143" s="6" t="s">
        <v>448</v>
      </c>
      <c r="K143" s="12" t="s">
        <v>806</v>
      </c>
      <c r="L143" s="12" t="s">
        <v>894</v>
      </c>
      <c r="M143" s="12" t="s">
        <v>895</v>
      </c>
      <c r="N143" s="12" t="s">
        <v>896</v>
      </c>
      <c r="O143" s="12" t="s">
        <v>897</v>
      </c>
      <c r="P143" s="12" t="s">
        <v>898</v>
      </c>
      <c r="Q143" s="12" t="s">
        <v>704</v>
      </c>
      <c r="R143" s="13">
        <f t="shared" si="4"/>
        <v>39.659999999999997</v>
      </c>
      <c r="S143" s="13">
        <f t="shared" si="5"/>
        <v>58.120442196241946</v>
      </c>
      <c r="T143" s="14" t="s">
        <v>661</v>
      </c>
      <c r="U143" s="15" t="s">
        <v>618</v>
      </c>
    </row>
    <row r="144" spans="1:21" ht="15.75" thickBot="1" x14ac:dyDescent="0.3">
      <c r="A144" s="3" t="s">
        <v>275</v>
      </c>
      <c r="B144" s="3" t="s">
        <v>275</v>
      </c>
      <c r="C144" s="3" t="s">
        <v>583</v>
      </c>
      <c r="D144" s="3" t="s">
        <v>558</v>
      </c>
      <c r="E144" s="3" t="s">
        <v>558</v>
      </c>
      <c r="F144" s="3" t="s">
        <v>275</v>
      </c>
      <c r="G144" s="3" t="s">
        <v>276</v>
      </c>
      <c r="H144" s="3" t="s">
        <v>549</v>
      </c>
      <c r="I144" s="3" t="s">
        <v>584</v>
      </c>
      <c r="J144" s="4" t="s">
        <v>193</v>
      </c>
      <c r="K144" s="12" t="s">
        <v>899</v>
      </c>
      <c r="L144" s="12" t="s">
        <v>900</v>
      </c>
      <c r="M144" s="12" t="s">
        <v>901</v>
      </c>
      <c r="N144" s="12" t="s">
        <v>471</v>
      </c>
      <c r="O144" s="12" t="s">
        <v>500</v>
      </c>
      <c r="P144" s="12" t="s">
        <v>254</v>
      </c>
      <c r="Q144" s="12" t="s">
        <v>854</v>
      </c>
      <c r="R144" s="13">
        <f t="shared" si="4"/>
        <v>39.659999999999997</v>
      </c>
      <c r="S144" s="13">
        <f t="shared" si="5"/>
        <v>58.844809768240587</v>
      </c>
      <c r="T144" s="14" t="s">
        <v>902</v>
      </c>
      <c r="U144" s="15" t="s">
        <v>618</v>
      </c>
    </row>
    <row r="145" spans="1:21" ht="15.75" thickBot="1" x14ac:dyDescent="0.3">
      <c r="A145" s="5" t="s">
        <v>585</v>
      </c>
      <c r="B145" s="5" t="s">
        <v>585</v>
      </c>
      <c r="C145" s="5" t="s">
        <v>586</v>
      </c>
      <c r="D145" s="5" t="s">
        <v>587</v>
      </c>
      <c r="E145" s="5" t="s">
        <v>587</v>
      </c>
      <c r="F145" s="5" t="s">
        <v>585</v>
      </c>
      <c r="G145" s="5" t="s">
        <v>588</v>
      </c>
      <c r="H145" s="5" t="s">
        <v>589</v>
      </c>
      <c r="I145" s="5" t="s">
        <v>590</v>
      </c>
      <c r="J145" s="6" t="s">
        <v>591</v>
      </c>
      <c r="K145" s="12" t="s">
        <v>903</v>
      </c>
      <c r="L145" s="12" t="s">
        <v>904</v>
      </c>
      <c r="M145" s="12" t="s">
        <v>905</v>
      </c>
      <c r="N145" s="12" t="s">
        <v>906</v>
      </c>
      <c r="O145" s="12">
        <v>3</v>
      </c>
      <c r="P145" s="12" t="s">
        <v>907</v>
      </c>
      <c r="Q145" s="12" t="s">
        <v>780</v>
      </c>
      <c r="R145" s="13">
        <f t="shared" si="4"/>
        <v>39.659999999999997</v>
      </c>
      <c r="S145" s="13">
        <f t="shared" si="5"/>
        <v>58.22146232193996</v>
      </c>
      <c r="T145" s="14" t="s">
        <v>648</v>
      </c>
      <c r="U145" s="15" t="s">
        <v>618</v>
      </c>
    </row>
    <row r="146" spans="1:21" ht="15.75" thickBot="1" x14ac:dyDescent="0.3">
      <c r="A146" s="3" t="s">
        <v>586</v>
      </c>
      <c r="B146" s="3" t="s">
        <v>586</v>
      </c>
      <c r="C146" s="3" t="s">
        <v>139</v>
      </c>
      <c r="D146" s="3" t="s">
        <v>591</v>
      </c>
      <c r="E146" s="3" t="s">
        <v>591</v>
      </c>
      <c r="F146" s="3" t="s">
        <v>586</v>
      </c>
      <c r="G146" s="3" t="s">
        <v>582</v>
      </c>
      <c r="H146" s="3" t="s">
        <v>368</v>
      </c>
      <c r="I146" s="3" t="s">
        <v>549</v>
      </c>
      <c r="J146" s="4" t="s">
        <v>142</v>
      </c>
      <c r="K146" s="12" t="s">
        <v>908</v>
      </c>
      <c r="L146" s="12" t="s">
        <v>909</v>
      </c>
      <c r="M146" s="12" t="s">
        <v>910</v>
      </c>
      <c r="N146" s="12" t="s">
        <v>16</v>
      </c>
      <c r="O146" s="12" t="s">
        <v>911</v>
      </c>
      <c r="P146" s="12" t="s">
        <v>623</v>
      </c>
      <c r="Q146" s="12" t="s">
        <v>710</v>
      </c>
      <c r="R146" s="13">
        <f t="shared" si="4"/>
        <v>39.659999999999997</v>
      </c>
      <c r="S146" s="13">
        <f t="shared" si="5"/>
        <v>58.425911059072973</v>
      </c>
      <c r="T146" s="14" t="s">
        <v>678</v>
      </c>
      <c r="U146" s="15" t="s">
        <v>618</v>
      </c>
    </row>
    <row r="147" spans="1:21" ht="15.75" thickBot="1" x14ac:dyDescent="0.3">
      <c r="A147" s="5" t="s">
        <v>592</v>
      </c>
      <c r="B147" s="5" t="s">
        <v>592</v>
      </c>
      <c r="C147" s="5" t="s">
        <v>209</v>
      </c>
      <c r="D147" s="5" t="s">
        <v>593</v>
      </c>
      <c r="E147" s="5" t="s">
        <v>593</v>
      </c>
      <c r="F147" s="5" t="s">
        <v>592</v>
      </c>
      <c r="G147" s="5" t="s">
        <v>594</v>
      </c>
      <c r="H147" s="5" t="s">
        <v>595</v>
      </c>
      <c r="I147" s="5" t="s">
        <v>593</v>
      </c>
      <c r="J147" s="6" t="s">
        <v>304</v>
      </c>
      <c r="K147" s="12" t="s">
        <v>912</v>
      </c>
      <c r="L147" s="12" t="s">
        <v>913</v>
      </c>
      <c r="M147" s="12" t="s">
        <v>914</v>
      </c>
      <c r="N147" s="12" t="s">
        <v>568</v>
      </c>
      <c r="O147" s="12" t="s">
        <v>915</v>
      </c>
      <c r="P147" s="12" t="s">
        <v>916</v>
      </c>
      <c r="Q147" s="12" t="s">
        <v>654</v>
      </c>
      <c r="R147" s="13">
        <f t="shared" si="4"/>
        <v>39.659999999999997</v>
      </c>
      <c r="S147" s="13">
        <f t="shared" si="5"/>
        <v>58.529365430533737</v>
      </c>
      <c r="T147" s="14" t="s">
        <v>640</v>
      </c>
      <c r="U147" s="15" t="s">
        <v>618</v>
      </c>
    </row>
    <row r="148" spans="1:21" ht="15.75" thickBot="1" x14ac:dyDescent="0.3">
      <c r="A148" s="3" t="s">
        <v>290</v>
      </c>
      <c r="B148" s="3" t="s">
        <v>290</v>
      </c>
      <c r="C148" s="3" t="s">
        <v>596</v>
      </c>
      <c r="D148" s="3" t="s">
        <v>597</v>
      </c>
      <c r="E148" s="3" t="s">
        <v>597</v>
      </c>
      <c r="F148" s="3" t="s">
        <v>290</v>
      </c>
      <c r="G148" s="3" t="s">
        <v>598</v>
      </c>
      <c r="H148" s="3" t="s">
        <v>599</v>
      </c>
      <c r="I148" s="3" t="s">
        <v>600</v>
      </c>
      <c r="J148" s="4" t="s">
        <v>549</v>
      </c>
      <c r="K148" s="12" t="s">
        <v>917</v>
      </c>
      <c r="L148" s="12" t="s">
        <v>918</v>
      </c>
      <c r="M148" s="12" t="s">
        <v>919</v>
      </c>
      <c r="N148" s="12" t="s">
        <v>920</v>
      </c>
      <c r="O148" s="12" t="s">
        <v>921</v>
      </c>
      <c r="P148" s="12" t="s">
        <v>922</v>
      </c>
      <c r="Q148" s="12" t="s">
        <v>632</v>
      </c>
      <c r="R148" s="13">
        <f t="shared" si="4"/>
        <v>39.659999999999997</v>
      </c>
      <c r="S148" s="13">
        <f t="shared" si="5"/>
        <v>58.020208227348277</v>
      </c>
      <c r="T148" s="14" t="s">
        <v>705</v>
      </c>
      <c r="U148" s="15" t="s">
        <v>618</v>
      </c>
    </row>
    <row r="149" spans="1:21" ht="15.75" thickBot="1" x14ac:dyDescent="0.3">
      <c r="A149" s="8" t="s">
        <v>601</v>
      </c>
      <c r="B149" s="8" t="s">
        <v>601</v>
      </c>
      <c r="C149" s="8" t="s">
        <v>140</v>
      </c>
      <c r="D149" s="8" t="s">
        <v>602</v>
      </c>
      <c r="E149" s="8" t="s">
        <v>602</v>
      </c>
      <c r="F149" s="8" t="s">
        <v>601</v>
      </c>
      <c r="G149" s="8" t="s">
        <v>603</v>
      </c>
      <c r="H149" s="8" t="s">
        <v>604</v>
      </c>
      <c r="I149" s="8" t="s">
        <v>605</v>
      </c>
      <c r="J149" s="9" t="s">
        <v>606</v>
      </c>
      <c r="K149" s="12" t="s">
        <v>923</v>
      </c>
      <c r="L149" s="12" t="s">
        <v>924</v>
      </c>
      <c r="M149" s="12" t="s">
        <v>925</v>
      </c>
      <c r="N149" s="12" t="s">
        <v>926</v>
      </c>
      <c r="O149" s="12" t="s">
        <v>927</v>
      </c>
      <c r="P149" s="12" t="s">
        <v>928</v>
      </c>
      <c r="Q149" s="12" t="s">
        <v>722</v>
      </c>
      <c r="R149" s="13">
        <f t="shared" si="4"/>
        <v>39.659999999999997</v>
      </c>
      <c r="S149" s="13">
        <f t="shared" si="5"/>
        <v>58.844809768240587</v>
      </c>
      <c r="T149" s="14" t="s">
        <v>902</v>
      </c>
      <c r="U149" s="15" t="s">
        <v>618</v>
      </c>
    </row>
  </sheetData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2023-10-07T18:48:33Z</dcterms:modified>
</cp:coreProperties>
</file>